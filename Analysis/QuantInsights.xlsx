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tectNeg" sheetId="1" r:id="rId4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>
  <authors>
    <author/>
  </authors>
  <commentList>
    <comment authorId="0" ref="G16">
      <text>
        <t xml:space="preserve">Min Recall
</t>
      </text>
    </comment>
    <comment authorId="0" ref="F33">
      <text>
        <t xml:space="preserve">Min Precision
</t>
      </text>
    </comment>
    <comment authorId="0" ref="G34">
      <text>
        <t xml:space="preserve">Max Recall
</t>
      </text>
    </comment>
    <comment authorId="0" ref="K34">
      <text>
        <t xml:space="preserve">Minimum False Negatives
</t>
      </text>
    </comment>
    <comment authorId="0" ref="L34">
      <text>
        <t xml:space="preserve">Max TP
</t>
      </text>
    </comment>
    <comment authorId="0" ref="J35">
      <text>
        <t xml:space="preserve">LLM is highly sensitive. Maybe it is also labelling disgust as negative?
This is not the case... Only 2 messages were actually labelled as disgust.
</t>
      </text>
    </comment>
    <comment authorId="0" ref="K35">
      <text>
        <t xml:space="preserve">Min FN</t>
      </text>
    </comment>
    <comment authorId="0" ref="J53">
      <text>
        <t xml:space="preserve">Min FP</t>
      </text>
    </comment>
    <comment authorId="0" ref="M53">
      <text>
        <t xml:space="preserve">Max TN
</t>
      </text>
    </comment>
    <comment authorId="0" ref="I54">
      <text>
        <t xml:space="preserve">Max Accuracy
</t>
      </text>
    </comment>
    <comment authorId="0" ref="I55">
      <text>
        <t xml:space="preserve">Max Accuracy</t>
      </text>
    </comment>
    <comment authorId="0" ref="G58">
      <text>
        <t xml:space="preserve">Min Recall
</t>
      </text>
    </comment>
    <comment authorId="0" ref="J58">
      <text>
        <t xml:space="preserve">Min FP</t>
      </text>
    </comment>
    <comment authorId="0" ref="M58">
      <text>
        <t xml:space="preserve">Max TN</t>
      </text>
    </comment>
    <comment authorId="0" ref="F69">
      <text>
        <t xml:space="preserve">Max Precision
</t>
      </text>
    </comment>
    <comment authorId="0" ref="I69">
      <text>
        <t xml:space="preserve">Max Accuracy</t>
      </text>
    </comment>
    <comment authorId="0" ref="J69">
      <text>
        <t xml:space="preserve">Min FP
</t>
      </text>
    </comment>
    <comment authorId="0" ref="M69">
      <text>
        <t xml:space="preserve">Max TN</t>
      </text>
    </comment>
    <comment authorId="0" ref="J70">
      <text>
        <t xml:space="preserve">Min FP</t>
      </text>
    </comment>
    <comment authorId="0" ref="M70">
      <text>
        <t xml:space="preserve">Max TN</t>
      </text>
    </comment>
    <comment authorId="0" ref="J71">
      <text>
        <t xml:space="preserve">Min FP</t>
      </text>
    </comment>
    <comment authorId="0" ref="M71">
      <text>
        <t xml:space="preserve">Max TN</t>
      </text>
    </comment>
  </commentList>
</comments>
</file>

<file path=xl/sharedStrings.xml><?xml version="1.0" encoding="utf-8"?>
<sst xmlns="http://schemas.openxmlformats.org/spreadsheetml/2006/main" count="134" uniqueCount="34">
  <si>
    <t>#Prompt</t>
  </si>
  <si>
    <t>#ITConvos</t>
  </si>
  <si>
    <t>Prompt</t>
  </si>
  <si>
    <t>History(n)</t>
  </si>
  <si>
    <t>Context</t>
  </si>
  <si>
    <t>Precision</t>
  </si>
  <si>
    <t>Recall</t>
  </si>
  <si>
    <t>F1</t>
  </si>
  <si>
    <t>Accuracy</t>
  </si>
  <si>
    <t>FP</t>
  </si>
  <si>
    <t>FN</t>
  </si>
  <si>
    <t>TP</t>
  </si>
  <si>
    <t>TN</t>
  </si>
  <si>
    <t>#FTMessages</t>
  </si>
  <si>
    <t>#FTConvos</t>
  </si>
  <si>
    <r>
      <rPr>
        <rFont val="Arial"/>
        <color theme="1"/>
      </rPr>
      <t xml:space="preserve">State if the </t>
    </r>
    <r>
      <rPr>
        <rFont val="Arial"/>
        <b/>
        <color theme="1"/>
      </rPr>
      <t>tone/intent</t>
    </r>
    <r>
      <rPr>
        <rFont val="Arial"/>
        <color theme="1"/>
      </rPr>
      <t xml:space="preserve"> of the last message in the conversation above is negative </t>
    </r>
    <r>
      <rPr>
        <rFont val="Arial"/>
        <b/>
        <color theme="1"/>
      </rPr>
      <t>(even if it is slightly negative)</t>
    </r>
    <r>
      <rPr>
        <rFont val="Arial"/>
        <color theme="1"/>
      </rPr>
      <t xml:space="preserve"> or not. Format output like this: "Y" for yes and "N" for no.'</t>
    </r>
  </si>
  <si>
    <t>Y</t>
  </si>
  <si>
    <t>N</t>
  </si>
  <si>
    <r>
      <rPr>
        <rFont val="Arial"/>
        <color theme="1"/>
      </rPr>
      <t xml:space="preserve">State if the </t>
    </r>
    <r>
      <rPr>
        <rFont val="Arial"/>
        <b/>
        <color theme="1"/>
      </rPr>
      <t>tone/intent</t>
    </r>
    <r>
      <rPr>
        <rFont val="Arial"/>
        <color theme="1"/>
      </rPr>
      <t xml:space="preserve"> of the last message in the conversation above is negative </t>
    </r>
    <r>
      <rPr>
        <rFont val="Arial"/>
        <b/>
        <color theme="1"/>
      </rPr>
      <t>(only if it is extremely negative)</t>
    </r>
    <r>
      <rPr>
        <rFont val="Arial"/>
        <color theme="1"/>
      </rPr>
      <t xml:space="preserve"> or not. Format output like this: "Y" for yes and "N" for no.'</t>
    </r>
  </si>
  <si>
    <r>
      <rPr>
        <rFont val="Arial"/>
        <color theme="1"/>
      </rPr>
      <t xml:space="preserve">State if the </t>
    </r>
    <r>
      <rPr>
        <rFont val="Arial"/>
        <b/>
        <color theme="1"/>
      </rPr>
      <t xml:space="preserve">tone/intent </t>
    </r>
    <r>
      <rPr>
        <rFont val="Arial"/>
        <color theme="1"/>
      </rPr>
      <t>of the</t>
    </r>
    <r>
      <rPr>
        <rFont val="Arial"/>
        <b/>
        <color theme="1"/>
      </rPr>
      <t xml:space="preserve"> following message</t>
    </r>
    <r>
      <rPr>
        <rFont val="Arial"/>
        <color theme="1"/>
      </rPr>
      <t xml:space="preserve"> in the conversation above is negative </t>
    </r>
    <r>
      <rPr>
        <rFont val="Arial"/>
        <b/>
        <color theme="1"/>
      </rPr>
      <t xml:space="preserve">(only if it is extremely negative) </t>
    </r>
    <r>
      <rPr>
        <rFont val="Arial"/>
        <color theme="1"/>
      </rPr>
      <t>or not: \n @rukhshan@ \n Format output like this: "Y" for yes and "N" for no.</t>
    </r>
  </si>
  <si>
    <r>
      <rPr>
        <rFont val="Arial"/>
        <color theme="1"/>
      </rPr>
      <t xml:space="preserve">State if the </t>
    </r>
    <r>
      <rPr>
        <rFont val="Arial"/>
        <b/>
        <color theme="1"/>
      </rPr>
      <t>tone/intent</t>
    </r>
    <r>
      <rPr>
        <rFont val="Arial"/>
        <color theme="1"/>
      </rPr>
      <t xml:space="preserve"> of </t>
    </r>
    <r>
      <rPr>
        <rFont val="Arial"/>
        <b/>
        <color theme="1"/>
      </rPr>
      <t>the following message</t>
    </r>
    <r>
      <rPr>
        <rFont val="Arial"/>
        <color theme="1"/>
      </rPr>
      <t xml:space="preserve"> in the conversation above is negative </t>
    </r>
    <r>
      <rPr>
        <rFont val="Arial"/>
        <b/>
        <color theme="1"/>
      </rPr>
      <t>(even if it is slightly negative)</t>
    </r>
    <r>
      <rPr>
        <rFont val="Arial"/>
        <color theme="1"/>
      </rPr>
      <t xml:space="preserve"> or not: \n @rukhshan@ \n Format output like this: "Y" for yes and "N" for no.</t>
    </r>
  </si>
  <si>
    <r>
      <rPr>
        <rFont val="Arial"/>
        <color theme="1"/>
      </rPr>
      <t xml:space="preserve">State if the </t>
    </r>
    <r>
      <rPr>
        <rFont val="Arial"/>
        <b/>
        <color theme="1"/>
      </rPr>
      <t>tone/intent</t>
    </r>
    <r>
      <rPr>
        <rFont val="Arial"/>
        <color theme="1"/>
      </rPr>
      <t xml:space="preserve"> of the </t>
    </r>
    <r>
      <rPr>
        <rFont val="Arial"/>
        <b/>
        <color theme="1"/>
      </rPr>
      <t>following message</t>
    </r>
    <r>
      <rPr>
        <rFont val="Arial"/>
        <color theme="1"/>
      </rPr>
      <t xml:space="preserve"> in the conversation above may be </t>
    </r>
    <r>
      <rPr>
        <rFont val="Arial"/>
        <b/>
        <color theme="1"/>
      </rPr>
      <t>perceived negatively by the recipient</t>
    </r>
    <r>
      <rPr>
        <rFont val="Arial"/>
        <color theme="1"/>
      </rPr>
      <t>: \n @rukhshan@ \n Format output like this: "Y" for yes and "N" for no.</t>
    </r>
  </si>
  <si>
    <r>
      <rPr>
        <rFont val="Arial"/>
        <color theme="1"/>
      </rPr>
      <t xml:space="preserve">State if the </t>
    </r>
    <r>
      <rPr>
        <rFont val="Arial"/>
        <b/>
        <color theme="1"/>
      </rPr>
      <t xml:space="preserve">sentiment </t>
    </r>
    <r>
      <rPr>
        <rFont val="Arial"/>
        <color theme="1"/>
      </rPr>
      <t>of the</t>
    </r>
    <r>
      <rPr>
        <rFont val="Arial"/>
        <b/>
        <color theme="1"/>
      </rPr>
      <t xml:space="preserve"> following message</t>
    </r>
    <r>
      <rPr>
        <rFont val="Arial"/>
        <color theme="1"/>
      </rPr>
      <t xml:space="preserve"> in the conversation above may be </t>
    </r>
    <r>
      <rPr>
        <rFont val="Arial"/>
        <b/>
        <color theme="1"/>
      </rPr>
      <t>perceived as negative by the recipient:</t>
    </r>
    <r>
      <rPr>
        <rFont val="Arial"/>
        <color theme="1"/>
      </rPr>
      <t xml:space="preserve"> \n @rukhshan@ \n Format output like this: "Y" for yes and "N" for no.</t>
    </r>
  </si>
  <si>
    <r>
      <rPr>
        <rFont val="Arial"/>
        <color theme="1"/>
      </rPr>
      <t xml:space="preserve">State if the </t>
    </r>
    <r>
      <rPr>
        <rFont val="Arial"/>
        <b/>
        <color theme="1"/>
      </rPr>
      <t xml:space="preserve">sentiment </t>
    </r>
    <r>
      <rPr>
        <rFont val="Arial"/>
        <color theme="1"/>
      </rPr>
      <t>of the</t>
    </r>
    <r>
      <rPr>
        <rFont val="Arial"/>
        <b/>
        <color theme="1"/>
      </rPr>
      <t xml:space="preserve"> following message</t>
    </r>
    <r>
      <rPr>
        <rFont val="Arial"/>
        <color theme="1"/>
      </rPr>
      <t xml:space="preserve"> in the conversation above may be </t>
    </r>
    <r>
      <rPr>
        <rFont val="Arial"/>
        <b/>
        <color theme="1"/>
      </rPr>
      <t>perceived as anger by the recipient</t>
    </r>
    <r>
      <rPr>
        <rFont val="Arial"/>
        <color theme="1"/>
      </rPr>
      <t>: \n @rukhshan@ \n Format output like this: "Y" for yes and "N" for no.</t>
    </r>
  </si>
  <si>
    <r>
      <rPr>
        <rFont val="Arial"/>
        <color theme="1"/>
      </rPr>
      <t xml:space="preserve">State if the </t>
    </r>
    <r>
      <rPr>
        <rFont val="Arial"/>
        <b/>
        <color theme="1"/>
      </rPr>
      <t xml:space="preserve">sentiment </t>
    </r>
    <r>
      <rPr>
        <rFont val="Arial"/>
        <color theme="1"/>
      </rPr>
      <t>of the following message in the conversation above is</t>
    </r>
    <r>
      <rPr>
        <rFont val="Arial"/>
        <b/>
        <color theme="1"/>
      </rPr>
      <t xml:space="preserve"> negative</t>
    </r>
    <r>
      <rPr>
        <rFont val="Arial"/>
        <color theme="1"/>
      </rPr>
      <t xml:space="preserve">: \n @rukhshan@ \n Format output like this: "Y" for yes and "N" for no.
</t>
    </r>
  </si>
  <si>
    <r>
      <rPr>
        <rFont val="Arial"/>
        <color theme="1"/>
      </rPr>
      <t xml:space="preserve">State if the </t>
    </r>
    <r>
      <rPr>
        <rFont val="Arial"/>
        <b/>
        <color theme="1"/>
      </rPr>
      <t xml:space="preserve">sentiment </t>
    </r>
    <r>
      <rPr>
        <rFont val="Arial"/>
        <color theme="1"/>
      </rPr>
      <t>of the following message in the conversation</t>
    </r>
    <r>
      <rPr>
        <rFont val="Arial"/>
        <b/>
        <color theme="1"/>
      </rPr>
      <t xml:space="preserve"> </t>
    </r>
    <r>
      <rPr>
        <rFont val="Arial"/>
        <color theme="1"/>
      </rPr>
      <t>above is</t>
    </r>
    <r>
      <rPr>
        <rFont val="Arial"/>
        <b/>
        <color theme="1"/>
      </rPr>
      <t xml:space="preserve"> angry</t>
    </r>
    <r>
      <rPr>
        <rFont val="Arial"/>
        <color theme="1"/>
      </rPr>
      <t xml:space="preserve">: \n @rukhshan@ \n Format output like this: "Y" for yes and "N" for no.
</t>
    </r>
  </si>
  <si>
    <r>
      <rPr>
        <rFont val="Arial"/>
        <color theme="1"/>
      </rPr>
      <t xml:space="preserve">Is the </t>
    </r>
    <r>
      <rPr>
        <rFont val="Arial"/>
        <b/>
        <color theme="1"/>
      </rPr>
      <t xml:space="preserve">tone </t>
    </r>
    <r>
      <rPr>
        <rFont val="Arial"/>
        <color theme="1"/>
      </rPr>
      <t>of the following message in the conversation above</t>
    </r>
    <r>
      <rPr>
        <rFont val="Arial"/>
        <b/>
        <color theme="1"/>
      </rPr>
      <t xml:space="preserve"> angry</t>
    </r>
    <r>
      <rPr>
        <rFont val="Arial"/>
        <color theme="1"/>
      </rPr>
      <t xml:space="preserve">: \n @rukhshan@ \n Format output like this: "Y" if yes and "N" if no.
</t>
    </r>
  </si>
  <si>
    <r>
      <rPr>
        <rFont val="Arial"/>
        <color theme="1"/>
      </rPr>
      <t xml:space="preserve">Is the </t>
    </r>
    <r>
      <rPr>
        <rFont val="Arial"/>
        <b/>
        <color theme="1"/>
      </rPr>
      <t>tone</t>
    </r>
    <r>
      <rPr>
        <rFont val="Arial"/>
        <color theme="1"/>
      </rPr>
      <t xml:space="preserve"> of the following message in the conversation above </t>
    </r>
    <r>
      <rPr>
        <rFont val="Arial"/>
        <b/>
        <color theme="1"/>
      </rPr>
      <t>negative</t>
    </r>
    <r>
      <rPr>
        <rFont val="Arial"/>
        <color theme="1"/>
      </rPr>
      <t xml:space="preserve">: \n @rukhshan@ \n Format output like this: "Y" if yes and "N" if no.
</t>
    </r>
  </si>
  <si>
    <r>
      <rPr>
        <rFont val="Arial"/>
        <color theme="1"/>
      </rPr>
      <t>Is the</t>
    </r>
    <r>
      <rPr>
        <rFont val="Arial"/>
        <b/>
        <color theme="1"/>
      </rPr>
      <t xml:space="preserve"> intent </t>
    </r>
    <r>
      <rPr>
        <rFont val="Arial"/>
        <color theme="1"/>
      </rPr>
      <t>of the following message in the conversation above to show</t>
    </r>
    <r>
      <rPr>
        <rFont val="Arial"/>
        <b/>
        <color theme="1"/>
      </rPr>
      <t xml:space="preserve"> anger</t>
    </r>
    <r>
      <rPr>
        <rFont val="Arial"/>
        <color theme="1"/>
      </rPr>
      <t xml:space="preserve">: \n @rukhshan@ \n Format output like this: "Y" if yes and "N" if no.
</t>
    </r>
  </si>
  <si>
    <r>
      <rPr>
        <rFont val="Arial"/>
        <color theme="1"/>
      </rPr>
      <t xml:space="preserve">Is the </t>
    </r>
    <r>
      <rPr>
        <rFont val="Arial"/>
        <b/>
        <color theme="1"/>
      </rPr>
      <t>intent</t>
    </r>
    <r>
      <rPr>
        <rFont val="Arial"/>
        <color theme="1"/>
      </rPr>
      <t xml:space="preserve"> of the following message in the conversation above </t>
    </r>
    <r>
      <rPr>
        <rFont val="Arial"/>
        <b/>
        <color theme="1"/>
      </rPr>
      <t>negative</t>
    </r>
    <r>
      <rPr>
        <rFont val="Arial"/>
        <color theme="1"/>
      </rPr>
      <t xml:space="preserve">: \n @rukhshan@ \n Format output like this: "Y" if yes and "N" if no.
</t>
    </r>
  </si>
  <si>
    <r>
      <rPr>
        <rFont val="Arial"/>
        <color theme="1"/>
      </rPr>
      <t xml:space="preserve">State if the following message in the conversation above may be perceived as negative by the recipient: \n @rukhshan@ \n </t>
    </r>
    <r>
      <rPr>
        <rFont val="Arial"/>
        <b/>
        <color theme="1"/>
      </rPr>
      <t>Take into account any implicit context that you can extract from the conversation, such as the relationship, gender or frankness of the conversation partners</t>
    </r>
    <r>
      <rPr>
        <rFont val="Arial"/>
        <color theme="1"/>
      </rPr>
      <t xml:space="preserve">. Format output like this: "Y" if yes and "N" if no.
</t>
    </r>
  </si>
  <si>
    <r>
      <rPr>
        <rFont val="Arial"/>
        <color theme="1"/>
      </rPr>
      <t xml:space="preserve">State if the tone/intent of the following message in the conversation above may be perceived as </t>
    </r>
    <r>
      <rPr>
        <rFont val="Arial"/>
        <b/>
        <color theme="1"/>
      </rPr>
      <t>rude, blunt, disrespectful, passive-aggresive, impolite, unnecessarily/indirectly criticising or negative in a similar subtle or non subtle way by the recipient</t>
    </r>
    <r>
      <rPr>
        <rFont val="Arial"/>
        <color theme="1"/>
      </rPr>
      <t xml:space="preserve">: \n @rukhshan@ \n </t>
    </r>
    <r>
      <rPr>
        <rFont val="Arial"/>
        <b/>
        <color theme="1"/>
      </rPr>
      <t>Take into account any additional context extractable from the conversation, such as the relationship, gender, frankness or age of the conversation partners which may guide your answer.</t>
    </r>
    <r>
      <rPr>
        <rFont val="Arial"/>
        <color theme="1"/>
      </rPr>
      <t xml:space="preserve"> Format output like this: "Y" if yes and "N" if no.
</t>
    </r>
  </si>
  <si>
    <r>
      <rPr>
        <rFont val="Arial"/>
        <color theme="1"/>
      </rPr>
      <t xml:space="preserve">State if the tone/intent of the following message in the conversation above may be perceived as rude, blunt, disrespectful, passive-aggresive, impolite, unnecessarily/indirectly criticising or negative in a similar subtle or non subtle way by the recipient: \n @rukhshan@ \n Take into account that the conversation partners are </t>
    </r>
    <r>
      <rPr>
        <rFont val="Arial"/>
        <b/>
        <color theme="1"/>
      </rPr>
      <t>formal colleagues</t>
    </r>
    <r>
      <rPr>
        <rFont val="Arial"/>
        <color theme="1"/>
      </rPr>
      <t xml:space="preserve">. Format output like this: "Y" if yes and "N" if no.
</t>
    </r>
  </si>
  <si>
    <r>
      <rPr>
        <rFont val="Arial"/>
        <color theme="1"/>
      </rPr>
      <t xml:space="preserve">State if the tone/intent of the following message in the conversation above may be perceived as rude, blunt, disrespectful, passive-aggresive, impolite, unnecessarily/indirectly criticising or negative in a similar subtle or non subtle way by the recipient: \n @rukhshan@ \n Take into account that the conversation partners are </t>
    </r>
    <r>
      <rPr>
        <rFont val="Arial"/>
        <b/>
        <color theme="1"/>
      </rPr>
      <t>casual friends</t>
    </r>
    <r>
      <rPr>
        <rFont val="Arial"/>
        <color theme="1"/>
      </rPr>
      <t xml:space="preserve">. Format output like this: "Y" if yes and "N" if no.
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</si>
</sst>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.0000"/>
  </numFmts>
  <fonts count="7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/>
    <font>
      <sz val="12.0"/>
      <color rgb="FF000000"/>
      <name val="Calibri"/>
    </font>
    <font>
      <color rgb="FF000000"/>
      <name val="Arial"/>
    </font>
    <font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readingOrder="0" shrinkToFit="0" wrapText="1"/>
    </xf>
    <xf borderId="0" fillId="0" fontId="2" numFmtId="0" xfId="0" applyAlignment="1" applyFont="1">
      <alignment horizontal="left" shrinkToFit="0" wrapText="1"/>
    </xf>
    <xf borderId="2" fillId="0" fontId="2" numFmtId="0" xfId="0" applyAlignment="1" applyBorder="1" applyFont="1">
      <alignment horizontal="left" readingOrder="0" shrinkToFit="0" vertical="center" wrapText="1"/>
    </xf>
    <xf borderId="1" fillId="0" fontId="2" numFmtId="0" xfId="0" applyAlignment="1" applyBorder="1" applyFont="1">
      <alignment horizontal="left" readingOrder="0" shrinkToFit="0" wrapText="1"/>
    </xf>
    <xf borderId="2" fillId="0" fontId="2" numFmtId="164" xfId="0" applyAlignment="1" applyBorder="1" applyFont="1" applyNumberFormat="1">
      <alignment horizontal="left" readingOrder="0" shrinkToFit="0" wrapText="1"/>
    </xf>
    <xf borderId="2" fillId="0" fontId="2" numFmtId="0" xfId="0" applyAlignment="1" applyBorder="1" applyFont="1">
      <alignment horizontal="left" readingOrder="0" shrinkToFit="0" wrapText="1"/>
    </xf>
    <xf borderId="3" fillId="0" fontId="3" numFmtId="0" xfId="0" applyBorder="1" applyFont="1"/>
    <xf borderId="3" fillId="0" fontId="2" numFmtId="164" xfId="0" applyAlignment="1" applyBorder="1" applyFont="1" applyNumberFormat="1">
      <alignment horizontal="left" readingOrder="0" shrinkToFit="0" wrapText="1"/>
    </xf>
    <xf borderId="3" fillId="0" fontId="2" numFmtId="0" xfId="0" applyAlignment="1" applyBorder="1" applyFont="1">
      <alignment horizontal="left" readingOrder="0" shrinkToFit="0" wrapText="1"/>
    </xf>
    <xf borderId="4" fillId="0" fontId="3" numFmtId="0" xfId="0" applyBorder="1" applyFont="1"/>
    <xf borderId="4" fillId="0" fontId="2" numFmtId="164" xfId="0" applyAlignment="1" applyBorder="1" applyFont="1" applyNumberFormat="1">
      <alignment horizontal="left" readingOrder="0" shrinkToFit="0" wrapText="1"/>
    </xf>
    <xf borderId="5" fillId="0" fontId="2" numFmtId="164" xfId="0" applyAlignment="1" applyBorder="1" applyFont="1" applyNumberFormat="1">
      <alignment horizontal="left" readingOrder="0" shrinkToFit="0" wrapText="1"/>
    </xf>
    <xf borderId="6" fillId="0" fontId="2" numFmtId="0" xfId="0" applyAlignment="1" applyBorder="1" applyFont="1">
      <alignment horizontal="left" readingOrder="0" shrinkToFit="0" wrapText="1"/>
    </xf>
    <xf borderId="4" fillId="0" fontId="2" numFmtId="0" xfId="0" applyAlignment="1" applyBorder="1" applyFont="1">
      <alignment horizontal="left" readingOrder="0" shrinkToFit="0" wrapText="1"/>
    </xf>
    <xf borderId="3" fillId="2" fontId="2" numFmtId="0" xfId="0" applyAlignment="1" applyBorder="1" applyFill="1" applyFont="1">
      <alignment horizontal="left" readingOrder="0" shrinkToFit="0" wrapText="1"/>
    </xf>
    <xf borderId="2" fillId="0" fontId="2" numFmtId="0" xfId="0" applyAlignment="1" applyBorder="1" applyFont="1">
      <alignment horizontal="left" readingOrder="0" shrinkToFit="0" vertical="top" wrapText="1"/>
    </xf>
    <xf borderId="7" fillId="0" fontId="2" numFmtId="0" xfId="0" applyAlignment="1" applyBorder="1" applyFont="1">
      <alignment horizontal="left" readingOrder="0" shrinkToFit="0" wrapText="1"/>
    </xf>
    <xf borderId="1" fillId="2" fontId="2" numFmtId="0" xfId="0" applyAlignment="1" applyBorder="1" applyFont="1">
      <alignment horizontal="left" readingOrder="0" shrinkToFit="0" wrapText="1"/>
    </xf>
    <xf borderId="7" fillId="2" fontId="2" numFmtId="0" xfId="0" applyAlignment="1" applyBorder="1" applyFont="1">
      <alignment horizontal="left" readingOrder="0" shrinkToFit="0" wrapText="1"/>
    </xf>
    <xf borderId="4" fillId="2" fontId="2" numFmtId="164" xfId="0" applyAlignment="1" applyBorder="1" applyFont="1" applyNumberFormat="1">
      <alignment horizontal="left" readingOrder="0" shrinkToFit="0" wrapText="1"/>
    </xf>
    <xf borderId="4" fillId="2" fontId="2" numFmtId="0" xfId="0" applyAlignment="1" applyBorder="1" applyFont="1">
      <alignment horizontal="left" readingOrder="0" shrinkToFit="0" wrapText="1"/>
    </xf>
    <xf borderId="0" fillId="2" fontId="2" numFmtId="0" xfId="0" applyAlignment="1" applyFont="1">
      <alignment horizontal="left" shrinkToFit="0" wrapText="1"/>
    </xf>
    <xf borderId="0" fillId="0" fontId="2" numFmtId="0" xfId="0" applyAlignment="1" applyFont="1">
      <alignment horizontal="left" readingOrder="0" shrinkToFit="0" wrapText="1"/>
    </xf>
    <xf borderId="1" fillId="3" fontId="2" numFmtId="0" xfId="0" applyAlignment="1" applyBorder="1" applyFill="1" applyFont="1">
      <alignment horizontal="left" readingOrder="0" shrinkToFit="0" wrapText="1"/>
    </xf>
    <xf borderId="7" fillId="3" fontId="2" numFmtId="0" xfId="0" applyAlignment="1" applyBorder="1" applyFont="1">
      <alignment horizontal="left" readingOrder="0" shrinkToFit="0" wrapText="1"/>
    </xf>
    <xf borderId="0" fillId="3" fontId="2" numFmtId="0" xfId="0" applyAlignment="1" applyFont="1">
      <alignment horizontal="left" readingOrder="0" shrinkToFit="0" wrapText="1"/>
    </xf>
    <xf borderId="0" fillId="3" fontId="2" numFmtId="0" xfId="0" applyAlignment="1" applyFont="1">
      <alignment horizontal="left" shrinkToFit="0" wrapText="1"/>
    </xf>
    <xf borderId="0" fillId="0" fontId="2" numFmtId="0" xfId="0" applyAlignment="1" applyFont="1">
      <alignment horizontal="left" readingOrder="0" shrinkToFit="0" vertical="center" wrapText="1"/>
    </xf>
    <xf borderId="0" fillId="0" fontId="2" numFmtId="0" xfId="0" applyAlignment="1" applyFont="1">
      <alignment horizontal="left" readingOrder="0" shrinkToFit="0" vertical="top" wrapText="1"/>
    </xf>
    <xf borderId="0" fillId="0" fontId="4" numFmtId="164" xfId="0" applyAlignment="1" applyFont="1" applyNumberFormat="1">
      <alignment shrinkToFit="0" vertical="bottom" wrapText="0"/>
    </xf>
    <xf borderId="0" fillId="0" fontId="4" numFmtId="0" xfId="0" applyAlignment="1" applyFont="1">
      <alignment shrinkToFit="0" vertical="bottom" wrapText="0"/>
    </xf>
    <xf borderId="0" fillId="0" fontId="2" numFmtId="164" xfId="0" applyAlignment="1" applyFont="1" applyNumberFormat="1">
      <alignment horizontal="left" readingOrder="0" shrinkToFit="0" wrapText="1"/>
    </xf>
    <xf borderId="0" fillId="4" fontId="5" numFmtId="164" xfId="0" applyAlignment="1" applyFill="1" applyFont="1" applyNumberFormat="1">
      <alignment horizontal="left" readingOrder="0"/>
    </xf>
    <xf borderId="0" fillId="3" fontId="2" numFmtId="164" xfId="0" applyAlignment="1" applyFont="1" applyNumberFormat="1">
      <alignment horizontal="left" readingOrder="0" shrinkToFit="0" wrapText="1"/>
    </xf>
    <xf borderId="0" fillId="0" fontId="6" numFmtId="0" xfId="0" applyAlignment="1" applyFont="1">
      <alignment vertical="top"/>
    </xf>
  </cellXfs>
  <cellStyles count="1">
    <cellStyle xfId="0" name="Normal" builtinId="0"/>
  </cellStyles>
  <dxfs count="2"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4C7C3"/>
          <bgColor rgb="FFF4C7C3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7.88"/>
    <col customWidth="1" min="2" max="2" width="10.25"/>
    <col customWidth="1" min="3" max="3" width="27.0"/>
    <col customWidth="1" min="4" max="4" width="10.38"/>
    <col customWidth="1" min="5" max="5" width="8.25"/>
    <col customWidth="1" min="6" max="6" width="9.25"/>
    <col customWidth="1" min="7" max="7" width="8.75"/>
    <col customWidth="1" min="8" max="8" width="9.88"/>
    <col customWidth="1" min="9" max="9" width="10.5"/>
    <col customWidth="1" min="10" max="10" width="7.0"/>
    <col customWidth="1" min="11" max="11" width="6.63"/>
    <col customWidth="1" min="12" max="12" width="7.13"/>
    <col customWidth="1" min="13" max="13" width="7.38"/>
    <col customWidth="1" min="15" max="15" width="11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</row>
    <row r="2">
      <c r="A2" s="3">
        <f>10</f>
        <v>10</v>
      </c>
      <c r="B2" s="3">
        <v>40.0</v>
      </c>
      <c r="C2" s="3" t="s">
        <v>15</v>
      </c>
      <c r="D2" s="4">
        <v>0.0</v>
      </c>
      <c r="E2" s="4" t="s">
        <v>16</v>
      </c>
      <c r="F2" s="5">
        <v>0.4487179</v>
      </c>
      <c r="G2" s="5">
        <v>0.7291666</v>
      </c>
      <c r="H2" s="5">
        <v>0.5555555</v>
      </c>
      <c r="I2" s="5">
        <v>0.7878787</v>
      </c>
      <c r="J2" s="6">
        <v>43.0</v>
      </c>
      <c r="K2" s="6">
        <v>13.0</v>
      </c>
      <c r="L2" s="6">
        <v>35.0</v>
      </c>
      <c r="M2" s="6">
        <v>173.0</v>
      </c>
      <c r="N2" s="6">
        <v>264.0</v>
      </c>
      <c r="O2" s="6">
        <v>37.0</v>
      </c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</row>
    <row r="3">
      <c r="A3" s="7"/>
      <c r="B3" s="7"/>
      <c r="C3" s="7"/>
      <c r="D3" s="4">
        <v>0.0</v>
      </c>
      <c r="E3" s="4" t="s">
        <v>17</v>
      </c>
      <c r="F3" s="8">
        <v>0.4375</v>
      </c>
      <c r="G3" s="8">
        <v>0.7291666</v>
      </c>
      <c r="H3" s="8">
        <v>0.546875</v>
      </c>
      <c r="I3" s="8">
        <v>0.780303</v>
      </c>
      <c r="J3" s="9">
        <v>45.0</v>
      </c>
      <c r="K3" s="9">
        <v>13.0</v>
      </c>
      <c r="L3" s="9">
        <v>35.0</v>
      </c>
      <c r="M3" s="9">
        <v>171.0</v>
      </c>
      <c r="N3" s="9">
        <v>264.0</v>
      </c>
      <c r="O3" s="9">
        <v>37.0</v>
      </c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</row>
    <row r="4">
      <c r="A4" s="7"/>
      <c r="B4" s="7"/>
      <c r="C4" s="7"/>
      <c r="D4" s="4">
        <v>1.0</v>
      </c>
      <c r="E4" s="4" t="s">
        <v>16</v>
      </c>
      <c r="F4" s="8">
        <v>0.4743589</v>
      </c>
      <c r="G4" s="8">
        <v>0.7708333</v>
      </c>
      <c r="H4" s="8">
        <v>0.5873015</v>
      </c>
      <c r="I4" s="8">
        <v>0.8030303</v>
      </c>
      <c r="J4" s="9">
        <v>41.0</v>
      </c>
      <c r="K4" s="9">
        <v>11.0</v>
      </c>
      <c r="L4" s="9">
        <v>37.0</v>
      </c>
      <c r="M4" s="9">
        <v>175.0</v>
      </c>
      <c r="N4" s="9">
        <v>264.0</v>
      </c>
      <c r="O4" s="9">
        <v>37.0</v>
      </c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</row>
    <row r="5">
      <c r="A5" s="7"/>
      <c r="B5" s="7"/>
      <c r="C5" s="7"/>
      <c r="D5" s="4">
        <v>1.0</v>
      </c>
      <c r="E5" s="4" t="s">
        <v>17</v>
      </c>
      <c r="F5" s="8">
        <v>0.4615384</v>
      </c>
      <c r="G5" s="8">
        <v>0.7659574</v>
      </c>
      <c r="H5" s="8">
        <v>0.576</v>
      </c>
      <c r="I5" s="8">
        <v>0.7929687</v>
      </c>
      <c r="J5" s="9">
        <v>42.0</v>
      </c>
      <c r="K5" s="9">
        <v>11.0</v>
      </c>
      <c r="L5" s="9">
        <v>36.0</v>
      </c>
      <c r="M5" s="9">
        <v>167.0</v>
      </c>
      <c r="N5" s="9">
        <v>256.0</v>
      </c>
      <c r="O5" s="9">
        <v>36.0</v>
      </c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</row>
    <row r="6">
      <c r="A6" s="7"/>
      <c r="B6" s="7"/>
      <c r="C6" s="7"/>
      <c r="D6" s="4">
        <v>2.0</v>
      </c>
      <c r="E6" s="4" t="s">
        <v>16</v>
      </c>
      <c r="F6" s="8">
        <v>0.4285714</v>
      </c>
      <c r="G6" s="8">
        <v>0.78</v>
      </c>
      <c r="H6" s="8">
        <v>0.5531914</v>
      </c>
      <c r="I6" s="8">
        <v>0.7700729</v>
      </c>
      <c r="J6" s="9">
        <v>52.0</v>
      </c>
      <c r="K6" s="9">
        <v>11.0</v>
      </c>
      <c r="L6" s="9">
        <v>39.0</v>
      </c>
      <c r="M6" s="9">
        <v>172.0</v>
      </c>
      <c r="N6" s="9">
        <v>274.0</v>
      </c>
      <c r="O6" s="9">
        <v>38.0</v>
      </c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</row>
    <row r="7">
      <c r="A7" s="10"/>
      <c r="B7" s="10"/>
      <c r="C7" s="10"/>
      <c r="D7" s="4">
        <v>2.0</v>
      </c>
      <c r="E7" s="4" t="s">
        <v>17</v>
      </c>
      <c r="F7" s="11">
        <v>0.4523809</v>
      </c>
      <c r="G7" s="11">
        <v>0.7755102</v>
      </c>
      <c r="H7" s="12">
        <v>0.5714285</v>
      </c>
      <c r="I7" s="11">
        <v>0.7799227</v>
      </c>
      <c r="J7" s="13">
        <v>46.0</v>
      </c>
      <c r="K7" s="14">
        <v>11.0</v>
      </c>
      <c r="L7" s="14">
        <v>38.0</v>
      </c>
      <c r="M7" s="14">
        <v>164.0</v>
      </c>
      <c r="N7" s="14">
        <v>259.0</v>
      </c>
      <c r="O7" s="14">
        <v>37.0</v>
      </c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</row>
    <row r="8">
      <c r="A8" s="3">
        <f>11</f>
        <v>11</v>
      </c>
      <c r="B8" s="3">
        <v>40.0</v>
      </c>
      <c r="C8" s="3" t="s">
        <v>18</v>
      </c>
      <c r="D8" s="4">
        <v>0.0</v>
      </c>
      <c r="E8" s="4" t="s">
        <v>16</v>
      </c>
      <c r="F8" s="8">
        <v>0.666666666666666</v>
      </c>
      <c r="G8" s="8">
        <v>0.458333333333333</v>
      </c>
      <c r="H8" s="8">
        <v>0.543209876543209</v>
      </c>
      <c r="I8" s="8">
        <v>0.859315589353612</v>
      </c>
      <c r="J8" s="9">
        <v>11.0</v>
      </c>
      <c r="K8" s="9">
        <v>26.0</v>
      </c>
      <c r="L8" s="9">
        <v>22.0</v>
      </c>
      <c r="M8" s="9">
        <v>204.0</v>
      </c>
      <c r="N8" s="9">
        <v>263.0</v>
      </c>
      <c r="O8" s="9">
        <v>37.0</v>
      </c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</row>
    <row r="9">
      <c r="A9" s="7"/>
      <c r="B9" s="7"/>
      <c r="C9" s="7"/>
      <c r="D9" s="4">
        <v>0.0</v>
      </c>
      <c r="E9" s="4" t="s">
        <v>17</v>
      </c>
      <c r="F9" s="8">
        <v>0.666666666666666</v>
      </c>
      <c r="G9" s="8">
        <v>0.416666666666666</v>
      </c>
      <c r="H9" s="8">
        <v>0.512820512820512</v>
      </c>
      <c r="I9" s="8">
        <v>0.856060606060606</v>
      </c>
      <c r="J9" s="9">
        <v>10.0</v>
      </c>
      <c r="K9" s="9">
        <v>28.0</v>
      </c>
      <c r="L9" s="9">
        <v>20.0</v>
      </c>
      <c r="M9" s="9">
        <v>206.0</v>
      </c>
      <c r="N9" s="9">
        <v>264.0</v>
      </c>
      <c r="O9" s="9">
        <v>37.0</v>
      </c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</row>
    <row r="10">
      <c r="A10" s="7"/>
      <c r="B10" s="7"/>
      <c r="C10" s="7"/>
      <c r="D10" s="4">
        <v>1.0</v>
      </c>
      <c r="E10" s="4" t="s">
        <v>16</v>
      </c>
      <c r="F10" s="8">
        <v>0.607142857142857</v>
      </c>
      <c r="G10" s="8">
        <v>0.354166666666666</v>
      </c>
      <c r="H10" s="8">
        <v>0.447368421052631</v>
      </c>
      <c r="I10" s="8">
        <v>0.84090909090909</v>
      </c>
      <c r="J10" s="9">
        <v>11.0</v>
      </c>
      <c r="K10" s="9">
        <v>31.0</v>
      </c>
      <c r="L10" s="9">
        <v>17.0</v>
      </c>
      <c r="M10" s="9">
        <v>205.0</v>
      </c>
      <c r="N10" s="9">
        <v>264.0</v>
      </c>
      <c r="O10" s="9">
        <v>37.0</v>
      </c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</row>
    <row r="11">
      <c r="A11" s="7"/>
      <c r="B11" s="7"/>
      <c r="C11" s="7"/>
      <c r="D11" s="4">
        <v>1.0</v>
      </c>
      <c r="E11" s="4" t="s">
        <v>17</v>
      </c>
      <c r="F11" s="8">
        <v>0.689655172413793</v>
      </c>
      <c r="G11" s="8">
        <v>0.425531914893617</v>
      </c>
      <c r="H11" s="8">
        <v>0.526315789473684</v>
      </c>
      <c r="I11" s="8">
        <v>0.859375</v>
      </c>
      <c r="J11" s="9">
        <v>9.0</v>
      </c>
      <c r="K11" s="9">
        <v>27.0</v>
      </c>
      <c r="L11" s="9">
        <v>20.0</v>
      </c>
      <c r="M11" s="9">
        <v>200.0</v>
      </c>
      <c r="N11" s="9">
        <v>256.0</v>
      </c>
      <c r="O11" s="9">
        <v>36.0</v>
      </c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</row>
    <row r="12">
      <c r="A12" s="7"/>
      <c r="B12" s="7"/>
      <c r="C12" s="7"/>
      <c r="D12" s="4">
        <v>2.0</v>
      </c>
      <c r="E12" s="4" t="s">
        <v>16</v>
      </c>
      <c r="F12" s="8">
        <v>0.657142857142857</v>
      </c>
      <c r="G12" s="8">
        <v>0.46</v>
      </c>
      <c r="H12" s="8">
        <v>0.541176470588235</v>
      </c>
      <c r="I12" s="8">
        <v>0.857664233576642</v>
      </c>
      <c r="J12" s="9">
        <v>12.0</v>
      </c>
      <c r="K12" s="9">
        <v>27.0</v>
      </c>
      <c r="L12" s="9">
        <v>23.0</v>
      </c>
      <c r="M12" s="9">
        <v>212.0</v>
      </c>
      <c r="N12" s="9">
        <v>274.0</v>
      </c>
      <c r="O12" s="9">
        <v>38.0</v>
      </c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</row>
    <row r="13">
      <c r="A13" s="10"/>
      <c r="B13" s="10"/>
      <c r="C13" s="10"/>
      <c r="D13" s="4">
        <v>2.0</v>
      </c>
      <c r="E13" s="4" t="s">
        <v>17</v>
      </c>
      <c r="F13" s="11">
        <v>0.6875</v>
      </c>
      <c r="G13" s="11">
        <v>0.448979591836734</v>
      </c>
      <c r="H13" s="11">
        <v>0.543209876543209</v>
      </c>
      <c r="I13" s="11">
        <v>0.857142857142857</v>
      </c>
      <c r="J13" s="14">
        <v>10.0</v>
      </c>
      <c r="K13" s="14">
        <v>27.0</v>
      </c>
      <c r="L13" s="14">
        <v>22.0</v>
      </c>
      <c r="M13" s="14">
        <v>200.0</v>
      </c>
      <c r="N13" s="14">
        <v>259.0</v>
      </c>
      <c r="O13" s="14">
        <v>37.0</v>
      </c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</row>
    <row r="14">
      <c r="A14" s="3">
        <f>20</f>
        <v>20</v>
      </c>
      <c r="B14" s="3">
        <v>40.0</v>
      </c>
      <c r="C14" s="3" t="s">
        <v>19</v>
      </c>
      <c r="D14" s="4">
        <v>0.0</v>
      </c>
      <c r="E14" s="4" t="s">
        <v>16</v>
      </c>
      <c r="F14" s="8">
        <v>0.73333333</v>
      </c>
      <c r="G14" s="8">
        <v>0.45833333</v>
      </c>
      <c r="H14" s="8">
        <v>0.56410256</v>
      </c>
      <c r="I14" s="8">
        <v>0.87121212</v>
      </c>
      <c r="J14" s="9">
        <v>8.0</v>
      </c>
      <c r="K14" s="9">
        <v>26.0</v>
      </c>
      <c r="L14" s="9">
        <v>22.0</v>
      </c>
      <c r="M14" s="9">
        <v>208.0</v>
      </c>
      <c r="N14" s="9">
        <v>264.0</v>
      </c>
      <c r="O14" s="9">
        <v>37.0</v>
      </c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</row>
    <row r="15">
      <c r="A15" s="7"/>
      <c r="B15" s="7"/>
      <c r="C15" s="7"/>
      <c r="D15" s="4">
        <v>0.0</v>
      </c>
      <c r="E15" s="4" t="s">
        <v>17</v>
      </c>
      <c r="F15" s="8">
        <v>0.65384615</v>
      </c>
      <c r="G15" s="8">
        <v>0.35416667</v>
      </c>
      <c r="H15" s="8">
        <v>0.45945946</v>
      </c>
      <c r="I15" s="8">
        <v>0.84848485</v>
      </c>
      <c r="J15" s="9">
        <v>9.0</v>
      </c>
      <c r="K15" s="9">
        <v>31.0</v>
      </c>
      <c r="L15" s="9">
        <v>17.0</v>
      </c>
      <c r="M15" s="9">
        <v>207.0</v>
      </c>
      <c r="N15" s="9">
        <v>264.0</v>
      </c>
      <c r="O15" s="9">
        <v>37.0</v>
      </c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</row>
    <row r="16">
      <c r="A16" s="7"/>
      <c r="B16" s="7"/>
      <c r="C16" s="7"/>
      <c r="D16" s="4">
        <v>1.0</v>
      </c>
      <c r="E16" s="4" t="s">
        <v>16</v>
      </c>
      <c r="F16" s="8">
        <v>0.78947368</v>
      </c>
      <c r="G16" s="8">
        <v>0.3125</v>
      </c>
      <c r="H16" s="8">
        <v>0.44776119</v>
      </c>
      <c r="I16" s="8">
        <v>0.85984848</v>
      </c>
      <c r="J16" s="9">
        <v>4.0</v>
      </c>
      <c r="K16" s="9">
        <v>33.0</v>
      </c>
      <c r="L16" s="9">
        <v>15.0</v>
      </c>
      <c r="M16" s="9">
        <v>212.0</v>
      </c>
      <c r="N16" s="9">
        <v>264.0</v>
      </c>
      <c r="O16" s="9">
        <v>37.0</v>
      </c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</row>
    <row r="17">
      <c r="A17" s="7"/>
      <c r="B17" s="7"/>
      <c r="C17" s="7"/>
      <c r="D17" s="4">
        <v>1.0</v>
      </c>
      <c r="E17" s="4" t="s">
        <v>17</v>
      </c>
      <c r="F17" s="8">
        <v>0.7037037</v>
      </c>
      <c r="G17" s="8">
        <v>0.39583333</v>
      </c>
      <c r="H17" s="8">
        <v>0.50666667</v>
      </c>
      <c r="I17" s="8">
        <v>0.85984848</v>
      </c>
      <c r="J17" s="9">
        <v>8.0</v>
      </c>
      <c r="K17" s="9">
        <v>29.0</v>
      </c>
      <c r="L17" s="9">
        <v>19.0</v>
      </c>
      <c r="M17" s="9">
        <v>208.0</v>
      </c>
      <c r="N17" s="9">
        <v>264.0</v>
      </c>
      <c r="O17" s="9">
        <v>37.0</v>
      </c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</row>
    <row r="18">
      <c r="A18" s="7"/>
      <c r="B18" s="7"/>
      <c r="C18" s="7"/>
      <c r="D18" s="4">
        <v>2.0</v>
      </c>
      <c r="E18" s="4" t="s">
        <v>16</v>
      </c>
      <c r="F18" s="8">
        <v>0.72</v>
      </c>
      <c r="G18" s="8">
        <v>0.36734694</v>
      </c>
      <c r="H18" s="8">
        <v>0.48648649</v>
      </c>
      <c r="I18" s="8">
        <v>0.85328185</v>
      </c>
      <c r="J18" s="9">
        <v>7.0</v>
      </c>
      <c r="K18" s="9">
        <v>31.0</v>
      </c>
      <c r="L18" s="9">
        <v>18.0</v>
      </c>
      <c r="M18" s="9">
        <v>203.0</v>
      </c>
      <c r="N18" s="9">
        <v>259.0</v>
      </c>
      <c r="O18" s="9">
        <v>37.0</v>
      </c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</row>
    <row r="19">
      <c r="A19" s="10"/>
      <c r="B19" s="10"/>
      <c r="C19" s="10"/>
      <c r="D19" s="4">
        <v>2.0</v>
      </c>
      <c r="E19" s="4" t="s">
        <v>17</v>
      </c>
      <c r="F19" s="11">
        <v>0.69230769</v>
      </c>
      <c r="G19" s="11">
        <v>0.38297872</v>
      </c>
      <c r="H19" s="11">
        <v>0.49315068</v>
      </c>
      <c r="I19" s="11">
        <v>0.85140562</v>
      </c>
      <c r="J19" s="14">
        <v>8.0</v>
      </c>
      <c r="K19" s="14">
        <v>29.0</v>
      </c>
      <c r="L19" s="14">
        <v>18.0</v>
      </c>
      <c r="M19" s="14">
        <v>194.0</v>
      </c>
      <c r="N19" s="14">
        <v>249.0</v>
      </c>
      <c r="O19" s="14">
        <v>36.0</v>
      </c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</row>
    <row r="20">
      <c r="A20" s="3">
        <v>21.0</v>
      </c>
      <c r="B20" s="3">
        <v>40.0</v>
      </c>
      <c r="C20" s="3" t="s">
        <v>20</v>
      </c>
      <c r="D20" s="4">
        <v>0.0</v>
      </c>
      <c r="E20" s="4" t="s">
        <v>16</v>
      </c>
      <c r="F20" s="8">
        <v>0.43373494</v>
      </c>
      <c r="G20" s="8">
        <v>0.75</v>
      </c>
      <c r="H20" s="8">
        <v>0.54961832</v>
      </c>
      <c r="I20" s="8">
        <v>0.77651515</v>
      </c>
      <c r="J20" s="9">
        <v>47.0</v>
      </c>
      <c r="K20" s="9">
        <v>12.0</v>
      </c>
      <c r="L20" s="9">
        <v>36.0</v>
      </c>
      <c r="M20" s="9">
        <v>169.0</v>
      </c>
      <c r="N20" s="9">
        <v>264.0</v>
      </c>
      <c r="O20" s="9">
        <v>37.0</v>
      </c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</row>
    <row r="21">
      <c r="A21" s="7"/>
      <c r="B21" s="7"/>
      <c r="C21" s="7"/>
      <c r="D21" s="4">
        <v>0.0</v>
      </c>
      <c r="E21" s="4" t="s">
        <v>17</v>
      </c>
      <c r="F21" s="8">
        <v>0.46753247</v>
      </c>
      <c r="G21" s="8">
        <v>0.75</v>
      </c>
      <c r="H21" s="8">
        <v>0.576</v>
      </c>
      <c r="I21" s="8">
        <v>0.79924242</v>
      </c>
      <c r="J21" s="9">
        <v>41.0</v>
      </c>
      <c r="K21" s="9">
        <v>12.0</v>
      </c>
      <c r="L21" s="9">
        <v>36.0</v>
      </c>
      <c r="M21" s="9">
        <v>175.0</v>
      </c>
      <c r="N21" s="9">
        <v>264.0</v>
      </c>
      <c r="O21" s="9">
        <v>37.0</v>
      </c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</row>
    <row r="22">
      <c r="A22" s="7"/>
      <c r="B22" s="7"/>
      <c r="C22" s="7"/>
      <c r="D22" s="4">
        <v>1.0</v>
      </c>
      <c r="E22" s="4" t="s">
        <v>16</v>
      </c>
      <c r="F22" s="8">
        <v>0.48</v>
      </c>
      <c r="G22" s="8">
        <v>0.75</v>
      </c>
      <c r="H22" s="8">
        <v>0.58536585</v>
      </c>
      <c r="I22" s="8">
        <v>0.80681818</v>
      </c>
      <c r="J22" s="9">
        <v>39.0</v>
      </c>
      <c r="K22" s="9">
        <v>12.0</v>
      </c>
      <c r="L22" s="9">
        <v>36.0</v>
      </c>
      <c r="M22" s="9">
        <v>177.0</v>
      </c>
      <c r="N22" s="9">
        <v>264.0</v>
      </c>
      <c r="O22" s="9">
        <v>37.0</v>
      </c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</row>
    <row r="23">
      <c r="A23" s="7"/>
      <c r="B23" s="7"/>
      <c r="C23" s="7"/>
      <c r="D23" s="4">
        <v>1.0</v>
      </c>
      <c r="E23" s="4" t="s">
        <v>17</v>
      </c>
      <c r="F23" s="8">
        <v>0.5</v>
      </c>
      <c r="G23" s="8">
        <v>0.72916667</v>
      </c>
      <c r="H23" s="8">
        <v>0.59322034</v>
      </c>
      <c r="I23" s="8">
        <v>0.81818182</v>
      </c>
      <c r="J23" s="9">
        <v>35.0</v>
      </c>
      <c r="K23" s="9">
        <v>13.0</v>
      </c>
      <c r="L23" s="9">
        <v>35.0</v>
      </c>
      <c r="M23" s="9">
        <v>181.0</v>
      </c>
      <c r="N23" s="9">
        <v>264.0</v>
      </c>
      <c r="O23" s="9">
        <v>37.0</v>
      </c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</row>
    <row r="24">
      <c r="A24" s="7"/>
      <c r="B24" s="7"/>
      <c r="C24" s="7"/>
      <c r="D24" s="4">
        <v>2.0</v>
      </c>
      <c r="E24" s="4" t="s">
        <v>16</v>
      </c>
      <c r="F24" s="8">
        <v>0.50704225</v>
      </c>
      <c r="G24" s="8">
        <v>0.7826087</v>
      </c>
      <c r="H24" s="8">
        <v>0.61538462</v>
      </c>
      <c r="I24" s="8">
        <v>0.81327801</v>
      </c>
      <c r="J24" s="9">
        <v>35.0</v>
      </c>
      <c r="K24" s="9">
        <v>10.0</v>
      </c>
      <c r="L24" s="9">
        <v>36.0</v>
      </c>
      <c r="M24" s="9">
        <v>160.0</v>
      </c>
      <c r="N24" s="9">
        <v>241.0</v>
      </c>
      <c r="O24" s="9">
        <v>35.0</v>
      </c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</row>
    <row r="25">
      <c r="A25" s="10"/>
      <c r="B25" s="10"/>
      <c r="C25" s="10"/>
      <c r="D25" s="4">
        <v>2.0</v>
      </c>
      <c r="E25" s="4" t="s">
        <v>17</v>
      </c>
      <c r="F25" s="11">
        <v>0.50724638</v>
      </c>
      <c r="G25" s="11">
        <v>0.76086957</v>
      </c>
      <c r="H25" s="11">
        <v>0.60869565</v>
      </c>
      <c r="I25" s="11">
        <v>0.81327801</v>
      </c>
      <c r="J25" s="14">
        <v>34.0</v>
      </c>
      <c r="K25" s="14">
        <v>11.0</v>
      </c>
      <c r="L25" s="14">
        <v>35.0</v>
      </c>
      <c r="M25" s="14">
        <v>161.0</v>
      </c>
      <c r="N25" s="14">
        <v>241.0</v>
      </c>
      <c r="O25" s="14">
        <v>35.0</v>
      </c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</row>
    <row r="26">
      <c r="A26" s="3">
        <v>30.0</v>
      </c>
      <c r="B26" s="3">
        <v>40.0</v>
      </c>
      <c r="C26" s="3" t="s">
        <v>21</v>
      </c>
      <c r="D26" s="4">
        <v>0.0</v>
      </c>
      <c r="E26" s="4" t="s">
        <v>16</v>
      </c>
      <c r="F26" s="8">
        <v>0.45945946</v>
      </c>
      <c r="G26" s="8">
        <v>0.70833333</v>
      </c>
      <c r="H26" s="8">
        <v>0.55737705</v>
      </c>
      <c r="I26" s="8">
        <v>0.79545455</v>
      </c>
      <c r="J26" s="9">
        <v>40.0</v>
      </c>
      <c r="K26" s="9">
        <v>14.0</v>
      </c>
      <c r="L26" s="9">
        <v>34.0</v>
      </c>
      <c r="M26" s="9">
        <v>176.0</v>
      </c>
      <c r="N26" s="9">
        <v>264.0</v>
      </c>
      <c r="O26" s="9">
        <v>37.0</v>
      </c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</row>
    <row r="27">
      <c r="A27" s="7"/>
      <c r="B27" s="7"/>
      <c r="C27" s="7"/>
      <c r="D27" s="4">
        <v>0.0</v>
      </c>
      <c r="E27" s="4" t="s">
        <v>17</v>
      </c>
      <c r="F27" s="8">
        <v>0.46376812</v>
      </c>
      <c r="G27" s="8">
        <v>0.66666667</v>
      </c>
      <c r="H27" s="8">
        <v>0.54700855</v>
      </c>
      <c r="I27" s="8">
        <v>0.79924242</v>
      </c>
      <c r="J27" s="9">
        <v>37.0</v>
      </c>
      <c r="K27" s="9">
        <v>16.0</v>
      </c>
      <c r="L27" s="9">
        <v>32.0</v>
      </c>
      <c r="M27" s="9">
        <v>179.0</v>
      </c>
      <c r="N27" s="9">
        <v>264.0</v>
      </c>
      <c r="O27" s="9">
        <v>37.0</v>
      </c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</row>
    <row r="28">
      <c r="A28" s="7"/>
      <c r="B28" s="7"/>
      <c r="C28" s="7"/>
      <c r="D28" s="4">
        <v>1.0</v>
      </c>
      <c r="E28" s="4" t="s">
        <v>16</v>
      </c>
      <c r="F28" s="8">
        <v>0.47222222</v>
      </c>
      <c r="G28" s="8">
        <v>0.70833333</v>
      </c>
      <c r="H28" s="8">
        <v>0.56666667</v>
      </c>
      <c r="I28" s="8">
        <v>0.8030303</v>
      </c>
      <c r="J28" s="9">
        <v>38.0</v>
      </c>
      <c r="K28" s="9">
        <v>14.0</v>
      </c>
      <c r="L28" s="9">
        <v>34.0</v>
      </c>
      <c r="M28" s="9">
        <v>178.0</v>
      </c>
      <c r="N28" s="9">
        <v>264.0</v>
      </c>
      <c r="O28" s="9">
        <v>37.0</v>
      </c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</row>
    <row r="29">
      <c r="A29" s="7"/>
      <c r="B29" s="7"/>
      <c r="C29" s="7"/>
      <c r="D29" s="4">
        <v>1.0</v>
      </c>
      <c r="E29" s="4" t="s">
        <v>17</v>
      </c>
      <c r="F29" s="8">
        <v>0.45945946</v>
      </c>
      <c r="G29" s="8">
        <v>0.70833333</v>
      </c>
      <c r="H29" s="8">
        <v>0.55737705</v>
      </c>
      <c r="I29" s="8">
        <v>0.79545455</v>
      </c>
      <c r="J29" s="9">
        <v>40.0</v>
      </c>
      <c r="K29" s="9">
        <v>14.0</v>
      </c>
      <c r="L29" s="9">
        <v>34.0</v>
      </c>
      <c r="M29" s="9">
        <v>176.0</v>
      </c>
      <c r="N29" s="9">
        <v>264.0</v>
      </c>
      <c r="O29" s="9">
        <v>37.0</v>
      </c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</row>
    <row r="30">
      <c r="A30" s="7"/>
      <c r="B30" s="7"/>
      <c r="C30" s="7"/>
      <c r="D30" s="4">
        <v>2.0</v>
      </c>
      <c r="E30" s="4" t="s">
        <v>16</v>
      </c>
      <c r="F30" s="8">
        <v>0.43478261</v>
      </c>
      <c r="G30" s="8">
        <v>0.63829787</v>
      </c>
      <c r="H30" s="8">
        <v>0.51724138</v>
      </c>
      <c r="I30" s="8">
        <v>0.78125</v>
      </c>
      <c r="J30" s="9">
        <v>39.0</v>
      </c>
      <c r="K30" s="9">
        <v>17.0</v>
      </c>
      <c r="L30" s="9">
        <v>30.0</v>
      </c>
      <c r="M30" s="9">
        <v>170.0</v>
      </c>
      <c r="N30" s="9">
        <v>256.0</v>
      </c>
      <c r="O30" s="9">
        <v>36.0</v>
      </c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</row>
    <row r="31">
      <c r="A31" s="10"/>
      <c r="B31" s="10"/>
      <c r="C31" s="10"/>
      <c r="D31" s="4">
        <v>2.0</v>
      </c>
      <c r="E31" s="4" t="s">
        <v>17</v>
      </c>
      <c r="F31" s="11">
        <v>0.43939394</v>
      </c>
      <c r="G31" s="11">
        <v>0.63043478</v>
      </c>
      <c r="H31" s="11">
        <v>0.51785714</v>
      </c>
      <c r="I31" s="11">
        <v>0.77593361</v>
      </c>
      <c r="J31" s="14">
        <v>37.0</v>
      </c>
      <c r="K31" s="14">
        <v>17.0</v>
      </c>
      <c r="L31" s="14">
        <v>29.0</v>
      </c>
      <c r="M31" s="14">
        <v>158.0</v>
      </c>
      <c r="N31" s="14">
        <v>241.0</v>
      </c>
      <c r="O31" s="14">
        <v>35.0</v>
      </c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</row>
    <row r="32">
      <c r="A32" s="3">
        <v>40.0</v>
      </c>
      <c r="B32" s="3">
        <v>40.0</v>
      </c>
      <c r="C32" s="3" t="s">
        <v>22</v>
      </c>
      <c r="D32" s="4">
        <v>0.0</v>
      </c>
      <c r="E32" s="4" t="s">
        <v>16</v>
      </c>
      <c r="F32" s="8">
        <v>0.368932039</v>
      </c>
      <c r="G32" s="8">
        <v>0.791666667</v>
      </c>
      <c r="H32" s="8">
        <v>0.503311258</v>
      </c>
      <c r="I32" s="8">
        <v>0.715909091</v>
      </c>
      <c r="J32" s="9">
        <v>65.0</v>
      </c>
      <c r="K32" s="9">
        <v>10.0</v>
      </c>
      <c r="L32" s="9">
        <v>38.0</v>
      </c>
      <c r="M32" s="9">
        <v>151.0</v>
      </c>
      <c r="N32" s="9">
        <v>264.0</v>
      </c>
      <c r="O32" s="9">
        <v>37.0</v>
      </c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</row>
    <row r="33">
      <c r="A33" s="7"/>
      <c r="B33" s="7"/>
      <c r="C33" s="7"/>
      <c r="D33" s="4">
        <v>0.0</v>
      </c>
      <c r="E33" s="4" t="s">
        <v>17</v>
      </c>
      <c r="F33" s="8">
        <v>0.355140187</v>
      </c>
      <c r="G33" s="8">
        <v>0.791666667</v>
      </c>
      <c r="H33" s="8">
        <v>0.490322581</v>
      </c>
      <c r="I33" s="8">
        <v>0.700757576</v>
      </c>
      <c r="J33" s="9">
        <v>69.0</v>
      </c>
      <c r="K33" s="9">
        <v>10.0</v>
      </c>
      <c r="L33" s="9">
        <v>38.0</v>
      </c>
      <c r="M33" s="9">
        <v>147.0</v>
      </c>
      <c r="N33" s="9">
        <v>264.0</v>
      </c>
      <c r="O33" s="9">
        <v>37.0</v>
      </c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</row>
    <row r="34">
      <c r="A34" s="7"/>
      <c r="B34" s="7"/>
      <c r="C34" s="7"/>
      <c r="D34" s="4">
        <v>1.0</v>
      </c>
      <c r="E34" s="4" t="s">
        <v>16</v>
      </c>
      <c r="F34" s="8">
        <v>0.404040404</v>
      </c>
      <c r="G34" s="8">
        <v>0.833333333</v>
      </c>
      <c r="H34" s="8">
        <v>0.544217687</v>
      </c>
      <c r="I34" s="8">
        <v>0.746212121</v>
      </c>
      <c r="J34" s="9">
        <v>59.0</v>
      </c>
      <c r="K34" s="9">
        <v>8.0</v>
      </c>
      <c r="L34" s="9">
        <v>40.0</v>
      </c>
      <c r="M34" s="9">
        <v>157.0</v>
      </c>
      <c r="N34" s="9">
        <v>264.0</v>
      </c>
      <c r="O34" s="9">
        <v>37.0</v>
      </c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</row>
    <row r="35">
      <c r="A35" s="7"/>
      <c r="B35" s="7"/>
      <c r="C35" s="7"/>
      <c r="D35" s="4">
        <v>1.0</v>
      </c>
      <c r="E35" s="4" t="s">
        <v>17</v>
      </c>
      <c r="F35" s="8">
        <v>0.389473684</v>
      </c>
      <c r="G35" s="8">
        <v>0.822222222</v>
      </c>
      <c r="H35" s="8">
        <v>0.528571429</v>
      </c>
      <c r="I35" s="8">
        <v>0.737051793</v>
      </c>
      <c r="J35" s="15">
        <v>58.0</v>
      </c>
      <c r="K35" s="9">
        <v>8.0</v>
      </c>
      <c r="L35" s="9">
        <v>37.0</v>
      </c>
      <c r="M35" s="9">
        <v>148.0</v>
      </c>
      <c r="N35" s="9">
        <v>251.0</v>
      </c>
      <c r="O35" s="9">
        <v>35.0</v>
      </c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</row>
    <row r="36">
      <c r="A36" s="7"/>
      <c r="B36" s="7"/>
      <c r="C36" s="7"/>
      <c r="D36" s="4">
        <v>2.0</v>
      </c>
      <c r="E36" s="4" t="s">
        <v>16</v>
      </c>
      <c r="F36" s="8">
        <v>0.389473684</v>
      </c>
      <c r="G36" s="8">
        <v>0.787234043</v>
      </c>
      <c r="H36" s="8">
        <v>0.521126761</v>
      </c>
      <c r="I36" s="8">
        <v>0.734375</v>
      </c>
      <c r="J36" s="9">
        <v>58.0</v>
      </c>
      <c r="K36" s="9">
        <v>10.0</v>
      </c>
      <c r="L36" s="9">
        <v>37.0</v>
      </c>
      <c r="M36" s="9">
        <v>151.0</v>
      </c>
      <c r="N36" s="9">
        <v>256.0</v>
      </c>
      <c r="O36" s="9">
        <v>36.0</v>
      </c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</row>
    <row r="37">
      <c r="A37" s="10"/>
      <c r="B37" s="10"/>
      <c r="C37" s="10"/>
      <c r="D37" s="4">
        <v>2.0</v>
      </c>
      <c r="E37" s="4" t="s">
        <v>17</v>
      </c>
      <c r="F37" s="11">
        <v>0.391304348</v>
      </c>
      <c r="G37" s="11">
        <v>0.782608696</v>
      </c>
      <c r="H37" s="11">
        <v>0.52173913</v>
      </c>
      <c r="I37" s="11">
        <v>0.726141079</v>
      </c>
      <c r="J37" s="14">
        <v>56.0</v>
      </c>
      <c r="K37" s="14">
        <v>10.0</v>
      </c>
      <c r="L37" s="14">
        <v>36.0</v>
      </c>
      <c r="M37" s="14">
        <v>139.0</v>
      </c>
      <c r="N37" s="14">
        <v>241.0</v>
      </c>
      <c r="O37" s="14">
        <v>35.0</v>
      </c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</row>
    <row r="38">
      <c r="A38" s="3">
        <v>41.0</v>
      </c>
      <c r="B38" s="3">
        <v>40.0</v>
      </c>
      <c r="C38" s="3" t="s">
        <v>23</v>
      </c>
      <c r="D38" s="4">
        <v>0.0</v>
      </c>
      <c r="E38" s="4" t="s">
        <v>16</v>
      </c>
      <c r="F38" s="8">
        <v>0.595744681</v>
      </c>
      <c r="G38" s="8">
        <v>0.583333333</v>
      </c>
      <c r="H38" s="8">
        <v>0.589473684</v>
      </c>
      <c r="I38" s="8">
        <v>0.852272727</v>
      </c>
      <c r="J38" s="9">
        <v>19.0</v>
      </c>
      <c r="K38" s="9">
        <v>20.0</v>
      </c>
      <c r="L38" s="9">
        <v>28.0</v>
      </c>
      <c r="M38" s="9">
        <v>197.0</v>
      </c>
      <c r="N38" s="9">
        <v>264.0</v>
      </c>
      <c r="O38" s="9">
        <v>37.0</v>
      </c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</row>
    <row r="39">
      <c r="A39" s="7"/>
      <c r="B39" s="7"/>
      <c r="C39" s="7"/>
      <c r="D39" s="4">
        <v>0.0</v>
      </c>
      <c r="E39" s="4" t="s">
        <v>17</v>
      </c>
      <c r="F39" s="8">
        <v>0.604166667</v>
      </c>
      <c r="G39" s="8">
        <v>0.604166667</v>
      </c>
      <c r="H39" s="8">
        <v>0.604166667</v>
      </c>
      <c r="I39" s="8">
        <v>0.856060606</v>
      </c>
      <c r="J39" s="9">
        <v>19.0</v>
      </c>
      <c r="K39" s="9">
        <v>19.0</v>
      </c>
      <c r="L39" s="9">
        <v>29.0</v>
      </c>
      <c r="M39" s="9">
        <v>197.0</v>
      </c>
      <c r="N39" s="9">
        <v>264.0</v>
      </c>
      <c r="O39" s="9">
        <v>37.0</v>
      </c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</row>
    <row r="40">
      <c r="A40" s="7"/>
      <c r="B40" s="7"/>
      <c r="C40" s="7"/>
      <c r="D40" s="4">
        <v>1.0</v>
      </c>
      <c r="E40" s="4" t="s">
        <v>16</v>
      </c>
      <c r="F40" s="8">
        <v>0.658536585</v>
      </c>
      <c r="G40" s="8">
        <v>0.5625</v>
      </c>
      <c r="H40" s="8">
        <v>0.606741573</v>
      </c>
      <c r="I40" s="8">
        <v>0.867424242</v>
      </c>
      <c r="J40" s="9">
        <v>14.0</v>
      </c>
      <c r="K40" s="9">
        <v>21.0</v>
      </c>
      <c r="L40" s="9">
        <v>27.0</v>
      </c>
      <c r="M40" s="9">
        <v>202.0</v>
      </c>
      <c r="N40" s="9">
        <v>264.0</v>
      </c>
      <c r="O40" s="9">
        <v>37.0</v>
      </c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</row>
    <row r="41">
      <c r="A41" s="7"/>
      <c r="B41" s="7"/>
      <c r="C41" s="7"/>
      <c r="D41" s="4">
        <v>1.0</v>
      </c>
      <c r="E41" s="4" t="s">
        <v>17</v>
      </c>
      <c r="F41" s="8">
        <v>0.710526316</v>
      </c>
      <c r="G41" s="8">
        <v>0.5625</v>
      </c>
      <c r="H41" s="8">
        <v>0.627906977</v>
      </c>
      <c r="I41" s="8">
        <v>0.878787879</v>
      </c>
      <c r="J41" s="9">
        <v>11.0</v>
      </c>
      <c r="K41" s="9">
        <v>21.0</v>
      </c>
      <c r="L41" s="9">
        <v>27.0</v>
      </c>
      <c r="M41" s="9">
        <v>205.0</v>
      </c>
      <c r="N41" s="9">
        <v>264.0</v>
      </c>
      <c r="O41" s="9">
        <v>37.0</v>
      </c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</row>
    <row r="42">
      <c r="A42" s="7"/>
      <c r="B42" s="7"/>
      <c r="C42" s="7"/>
      <c r="D42" s="4">
        <v>2.0</v>
      </c>
      <c r="E42" s="4" t="s">
        <v>16</v>
      </c>
      <c r="F42" s="8">
        <v>0.6</v>
      </c>
      <c r="G42" s="8">
        <v>0.638297872</v>
      </c>
      <c r="H42" s="8">
        <v>0.618556701</v>
      </c>
      <c r="I42" s="8">
        <v>0.85546875</v>
      </c>
      <c r="J42" s="9">
        <v>20.0</v>
      </c>
      <c r="K42" s="9">
        <v>17.0</v>
      </c>
      <c r="L42" s="9">
        <v>30.0</v>
      </c>
      <c r="M42" s="9">
        <v>189.0</v>
      </c>
      <c r="N42" s="9">
        <v>256.0</v>
      </c>
      <c r="O42" s="9">
        <v>36.0</v>
      </c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</row>
    <row r="43">
      <c r="A43" s="10"/>
      <c r="B43" s="10"/>
      <c r="C43" s="10"/>
      <c r="D43" s="4">
        <v>2.0</v>
      </c>
      <c r="E43" s="4" t="s">
        <v>17</v>
      </c>
      <c r="F43" s="11">
        <v>0.583333333</v>
      </c>
      <c r="G43" s="11">
        <v>0.595744681</v>
      </c>
      <c r="H43" s="11">
        <v>0.589473684</v>
      </c>
      <c r="I43" s="11">
        <v>0.84765625</v>
      </c>
      <c r="J43" s="14">
        <v>20.0</v>
      </c>
      <c r="K43" s="14">
        <v>19.0</v>
      </c>
      <c r="L43" s="14">
        <v>28.0</v>
      </c>
      <c r="M43" s="14">
        <v>189.0</v>
      </c>
      <c r="N43" s="14">
        <v>256.0</v>
      </c>
      <c r="O43" s="14">
        <v>36.0</v>
      </c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</row>
    <row r="44">
      <c r="A44" s="3">
        <v>42.0</v>
      </c>
      <c r="B44" s="3">
        <v>40.0</v>
      </c>
      <c r="C44" s="16" t="s">
        <v>24</v>
      </c>
      <c r="D44" s="4">
        <v>0.0</v>
      </c>
      <c r="E44" s="4" t="s">
        <v>16</v>
      </c>
      <c r="F44" s="8">
        <v>0.373737374</v>
      </c>
      <c r="G44" s="8">
        <v>0.770833333</v>
      </c>
      <c r="H44" s="8">
        <v>0.503401361</v>
      </c>
      <c r="I44" s="8">
        <v>0.723484848</v>
      </c>
      <c r="J44" s="9">
        <v>62.0</v>
      </c>
      <c r="K44" s="9">
        <v>11.0</v>
      </c>
      <c r="L44" s="9">
        <v>37.0</v>
      </c>
      <c r="M44" s="9">
        <v>154.0</v>
      </c>
      <c r="N44" s="9">
        <v>264.0</v>
      </c>
      <c r="O44" s="9">
        <v>37.0</v>
      </c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</row>
    <row r="45">
      <c r="A45" s="7"/>
      <c r="B45" s="7"/>
      <c r="C45" s="7"/>
      <c r="D45" s="4">
        <v>0.0</v>
      </c>
      <c r="E45" s="4" t="s">
        <v>17</v>
      </c>
      <c r="F45" s="8">
        <v>0.404494382</v>
      </c>
      <c r="G45" s="8">
        <v>0.75</v>
      </c>
      <c r="H45" s="8">
        <v>0.525547445</v>
      </c>
      <c r="I45" s="8">
        <v>0.753787879</v>
      </c>
      <c r="J45" s="9">
        <v>53.0</v>
      </c>
      <c r="K45" s="9">
        <v>12.0</v>
      </c>
      <c r="L45" s="9">
        <v>36.0</v>
      </c>
      <c r="M45" s="9">
        <v>163.0</v>
      </c>
      <c r="N45" s="9">
        <v>264.0</v>
      </c>
      <c r="O45" s="9">
        <v>37.0</v>
      </c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</row>
    <row r="46">
      <c r="A46" s="7"/>
      <c r="B46" s="7"/>
      <c r="C46" s="7"/>
      <c r="D46" s="4">
        <v>1.0</v>
      </c>
      <c r="E46" s="4" t="s">
        <v>16</v>
      </c>
      <c r="F46" s="8">
        <v>0.421686747</v>
      </c>
      <c r="G46" s="8">
        <v>0.744680851</v>
      </c>
      <c r="H46" s="8">
        <v>0.538461538</v>
      </c>
      <c r="I46" s="8">
        <v>0.765625</v>
      </c>
      <c r="J46" s="9">
        <v>48.0</v>
      </c>
      <c r="K46" s="9">
        <v>12.0</v>
      </c>
      <c r="L46" s="9">
        <v>35.0</v>
      </c>
      <c r="M46" s="9">
        <v>161.0</v>
      </c>
      <c r="N46" s="9">
        <v>256.0</v>
      </c>
      <c r="O46" s="9">
        <v>36.0</v>
      </c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</row>
    <row r="47">
      <c r="A47" s="7"/>
      <c r="B47" s="7"/>
      <c r="C47" s="7"/>
      <c r="D47" s="4">
        <v>1.0</v>
      </c>
      <c r="E47" s="4" t="s">
        <v>17</v>
      </c>
      <c r="F47" s="8">
        <v>0.426666667</v>
      </c>
      <c r="G47" s="8">
        <v>0.711111111</v>
      </c>
      <c r="H47" s="8">
        <v>0.533333333</v>
      </c>
      <c r="I47" s="8">
        <v>0.77689243</v>
      </c>
      <c r="J47" s="9">
        <v>43.0</v>
      </c>
      <c r="K47" s="9">
        <v>13.0</v>
      </c>
      <c r="L47" s="9">
        <v>32.0</v>
      </c>
      <c r="M47" s="9">
        <v>163.0</v>
      </c>
      <c r="N47" s="9">
        <v>251.0</v>
      </c>
      <c r="O47" s="9">
        <v>35.0</v>
      </c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</row>
    <row r="48">
      <c r="A48" s="7"/>
      <c r="B48" s="7"/>
      <c r="C48" s="7"/>
      <c r="D48" s="4">
        <v>2.0</v>
      </c>
      <c r="E48" s="4" t="s">
        <v>16</v>
      </c>
      <c r="F48" s="8">
        <v>0.4</v>
      </c>
      <c r="G48" s="8">
        <v>0.765957447</v>
      </c>
      <c r="H48" s="8">
        <v>0.525547445</v>
      </c>
      <c r="I48" s="8">
        <v>0.74609375</v>
      </c>
      <c r="J48" s="9">
        <v>54.0</v>
      </c>
      <c r="K48" s="9">
        <v>11.0</v>
      </c>
      <c r="L48" s="9">
        <v>36.0</v>
      </c>
      <c r="M48" s="9">
        <v>155.0</v>
      </c>
      <c r="N48" s="9">
        <v>256.0</v>
      </c>
      <c r="O48" s="9">
        <v>36.0</v>
      </c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</row>
    <row r="49">
      <c r="A49" s="10"/>
      <c r="B49" s="10"/>
      <c r="C49" s="10"/>
      <c r="D49" s="4">
        <v>2.0</v>
      </c>
      <c r="E49" s="4" t="s">
        <v>17</v>
      </c>
      <c r="F49" s="11">
        <v>0.428571429</v>
      </c>
      <c r="G49" s="11">
        <v>0.75</v>
      </c>
      <c r="H49" s="11">
        <v>0.545454545</v>
      </c>
      <c r="I49" s="11">
        <v>0.766949153</v>
      </c>
      <c r="J49" s="14">
        <v>44.0</v>
      </c>
      <c r="K49" s="14">
        <v>11.0</v>
      </c>
      <c r="L49" s="14">
        <v>33.0</v>
      </c>
      <c r="M49" s="14">
        <v>148.0</v>
      </c>
      <c r="N49" s="14">
        <v>236.0</v>
      </c>
      <c r="O49" s="14">
        <v>34.0</v>
      </c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</row>
    <row r="50">
      <c r="A50" s="3">
        <v>43.0</v>
      </c>
      <c r="B50" s="3">
        <v>40.0</v>
      </c>
      <c r="C50" s="16" t="s">
        <v>25</v>
      </c>
      <c r="D50" s="4">
        <v>0.0</v>
      </c>
      <c r="E50" s="4" t="s">
        <v>16</v>
      </c>
      <c r="F50" s="8">
        <v>0.709677419</v>
      </c>
      <c r="G50" s="8">
        <v>0.458333333</v>
      </c>
      <c r="H50" s="8">
        <v>0.556962025</v>
      </c>
      <c r="I50" s="8">
        <v>0.867424242</v>
      </c>
      <c r="J50" s="9">
        <v>9.0</v>
      </c>
      <c r="K50" s="9">
        <v>26.0</v>
      </c>
      <c r="L50" s="9">
        <v>22.0</v>
      </c>
      <c r="M50" s="9">
        <v>207.0</v>
      </c>
      <c r="N50" s="9">
        <v>264.0</v>
      </c>
      <c r="O50" s="9">
        <v>37.0</v>
      </c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</row>
    <row r="51">
      <c r="A51" s="7"/>
      <c r="B51" s="7"/>
      <c r="C51" s="7"/>
      <c r="D51" s="4">
        <v>0.0</v>
      </c>
      <c r="E51" s="4" t="s">
        <v>17</v>
      </c>
      <c r="F51" s="8">
        <v>0.740740741</v>
      </c>
      <c r="G51" s="8">
        <v>0.416666667</v>
      </c>
      <c r="H51" s="8">
        <v>0.533333333</v>
      </c>
      <c r="I51" s="8">
        <v>0.867424242</v>
      </c>
      <c r="J51" s="9">
        <v>7.0</v>
      </c>
      <c r="K51" s="9">
        <v>28.0</v>
      </c>
      <c r="L51" s="9">
        <v>20.0</v>
      </c>
      <c r="M51" s="9">
        <v>209.0</v>
      </c>
      <c r="N51" s="9">
        <v>264.0</v>
      </c>
      <c r="O51" s="9">
        <v>37.0</v>
      </c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</row>
    <row r="52">
      <c r="A52" s="7"/>
      <c r="B52" s="7"/>
      <c r="C52" s="7"/>
      <c r="D52" s="4">
        <v>1.0</v>
      </c>
      <c r="E52" s="4" t="s">
        <v>16</v>
      </c>
      <c r="F52" s="8">
        <v>0.842105263</v>
      </c>
      <c r="G52" s="8">
        <v>0.333333333</v>
      </c>
      <c r="H52" s="8">
        <v>0.47761194</v>
      </c>
      <c r="I52" s="8">
        <v>0.867424242</v>
      </c>
      <c r="J52" s="9">
        <v>3.0</v>
      </c>
      <c r="K52" s="9">
        <v>32.0</v>
      </c>
      <c r="L52" s="9">
        <v>16.0</v>
      </c>
      <c r="M52" s="9">
        <v>213.0</v>
      </c>
      <c r="N52" s="9">
        <v>264.0</v>
      </c>
      <c r="O52" s="9">
        <v>37.0</v>
      </c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</row>
    <row r="53">
      <c r="A53" s="7"/>
      <c r="B53" s="7"/>
      <c r="C53" s="7"/>
      <c r="D53" s="4">
        <v>1.0</v>
      </c>
      <c r="E53" s="4" t="s">
        <v>17</v>
      </c>
      <c r="F53" s="8">
        <v>0.888888889</v>
      </c>
      <c r="G53" s="8">
        <v>0.333333333</v>
      </c>
      <c r="H53" s="8">
        <v>0.484848485</v>
      </c>
      <c r="I53" s="8">
        <v>0.871212121</v>
      </c>
      <c r="J53" s="9">
        <v>2.0</v>
      </c>
      <c r="K53" s="9">
        <v>32.0</v>
      </c>
      <c r="L53" s="9">
        <v>16.0</v>
      </c>
      <c r="M53" s="9">
        <v>214.0</v>
      </c>
      <c r="N53" s="9">
        <v>264.0</v>
      </c>
      <c r="O53" s="9">
        <v>37.0</v>
      </c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</row>
    <row r="54">
      <c r="A54" s="7"/>
      <c r="B54" s="7"/>
      <c r="C54" s="7"/>
      <c r="D54" s="4">
        <v>2.0</v>
      </c>
      <c r="E54" s="4" t="s">
        <v>16</v>
      </c>
      <c r="F54" s="8">
        <v>0.84</v>
      </c>
      <c r="G54" s="8">
        <v>0.4375</v>
      </c>
      <c r="H54" s="8">
        <v>0.575342466</v>
      </c>
      <c r="I54" s="8">
        <v>0.882575758</v>
      </c>
      <c r="J54" s="9">
        <v>4.0</v>
      </c>
      <c r="K54" s="9">
        <v>27.0</v>
      </c>
      <c r="L54" s="9">
        <v>21.0</v>
      </c>
      <c r="M54" s="9">
        <v>212.0</v>
      </c>
      <c r="N54" s="9">
        <v>264.0</v>
      </c>
      <c r="O54" s="9">
        <v>37.0</v>
      </c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</row>
    <row r="55">
      <c r="A55" s="10"/>
      <c r="B55" s="10"/>
      <c r="C55" s="10"/>
      <c r="D55" s="4">
        <v>2.0</v>
      </c>
      <c r="E55" s="4" t="s">
        <v>17</v>
      </c>
      <c r="F55" s="11">
        <v>0.814814815</v>
      </c>
      <c r="G55" s="11">
        <v>0.458333333</v>
      </c>
      <c r="H55" s="11">
        <v>0.586666667</v>
      </c>
      <c r="I55" s="11">
        <v>0.882575758</v>
      </c>
      <c r="J55" s="14">
        <v>5.0</v>
      </c>
      <c r="K55" s="14">
        <v>26.0</v>
      </c>
      <c r="L55" s="14">
        <v>22.0</v>
      </c>
      <c r="M55" s="14">
        <v>211.0</v>
      </c>
      <c r="N55" s="14">
        <v>264.0</v>
      </c>
      <c r="O55" s="14">
        <v>37.0</v>
      </c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</row>
    <row r="56">
      <c r="A56" s="3">
        <v>50.0</v>
      </c>
      <c r="B56" s="3">
        <v>40.0</v>
      </c>
      <c r="C56" s="16" t="s">
        <v>26</v>
      </c>
      <c r="D56" s="4">
        <v>0.0</v>
      </c>
      <c r="E56" s="4" t="s">
        <v>16</v>
      </c>
      <c r="F56" s="8">
        <v>0.703703704</v>
      </c>
      <c r="G56" s="8">
        <v>0.395833333</v>
      </c>
      <c r="H56" s="8">
        <v>0.506666667</v>
      </c>
      <c r="I56" s="8">
        <v>0.859848485</v>
      </c>
      <c r="J56" s="9">
        <v>8.0</v>
      </c>
      <c r="K56" s="9">
        <v>29.0</v>
      </c>
      <c r="L56" s="9">
        <v>19.0</v>
      </c>
      <c r="M56" s="9">
        <v>208.0</v>
      </c>
      <c r="N56" s="9">
        <v>264.0</v>
      </c>
      <c r="O56" s="9">
        <v>37.0</v>
      </c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</row>
    <row r="57">
      <c r="A57" s="7"/>
      <c r="B57" s="7"/>
      <c r="C57" s="7"/>
      <c r="D57" s="4">
        <v>0.0</v>
      </c>
      <c r="E57" s="4" t="s">
        <v>17</v>
      </c>
      <c r="F57" s="8">
        <v>0.740740741</v>
      </c>
      <c r="G57" s="8">
        <v>0.416666667</v>
      </c>
      <c r="H57" s="8">
        <v>0.533333333</v>
      </c>
      <c r="I57" s="8">
        <v>0.867424242</v>
      </c>
      <c r="J57" s="9">
        <v>7.0</v>
      </c>
      <c r="K57" s="9">
        <v>28.0</v>
      </c>
      <c r="L57" s="9">
        <v>20.0</v>
      </c>
      <c r="M57" s="9">
        <v>209.0</v>
      </c>
      <c r="N57" s="9">
        <v>264.0</v>
      </c>
      <c r="O57" s="9">
        <v>37.0</v>
      </c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</row>
    <row r="58">
      <c r="A58" s="7"/>
      <c r="B58" s="7"/>
      <c r="C58" s="7"/>
      <c r="D58" s="4">
        <v>1.0</v>
      </c>
      <c r="E58" s="4" t="s">
        <v>16</v>
      </c>
      <c r="F58" s="8">
        <v>0.882352941</v>
      </c>
      <c r="G58" s="8">
        <v>0.3125</v>
      </c>
      <c r="H58" s="8">
        <v>0.461538462</v>
      </c>
      <c r="I58" s="8">
        <v>0.867424242</v>
      </c>
      <c r="J58" s="9">
        <v>2.0</v>
      </c>
      <c r="K58" s="9">
        <v>33.0</v>
      </c>
      <c r="L58" s="9">
        <v>15.0</v>
      </c>
      <c r="M58" s="9">
        <v>214.0</v>
      </c>
      <c r="N58" s="9">
        <v>264.0</v>
      </c>
      <c r="O58" s="9">
        <v>37.0</v>
      </c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</row>
    <row r="59">
      <c r="A59" s="7"/>
      <c r="B59" s="7"/>
      <c r="C59" s="7"/>
      <c r="D59" s="4">
        <v>1.0</v>
      </c>
      <c r="E59" s="4" t="s">
        <v>17</v>
      </c>
      <c r="F59" s="8">
        <v>0.80952381</v>
      </c>
      <c r="G59" s="8">
        <v>0.361702128</v>
      </c>
      <c r="H59" s="8">
        <v>0.5</v>
      </c>
      <c r="I59" s="8">
        <v>0.8671875</v>
      </c>
      <c r="J59" s="9">
        <v>4.0</v>
      </c>
      <c r="K59" s="9">
        <v>30.0</v>
      </c>
      <c r="L59" s="9">
        <v>17.0</v>
      </c>
      <c r="M59" s="9">
        <v>205.0</v>
      </c>
      <c r="N59" s="9">
        <v>256.0</v>
      </c>
      <c r="O59" s="9">
        <v>36.0</v>
      </c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</row>
    <row r="60">
      <c r="A60" s="7"/>
      <c r="B60" s="7"/>
      <c r="C60" s="7"/>
      <c r="D60" s="4">
        <v>2.0</v>
      </c>
      <c r="E60" s="4" t="s">
        <v>16</v>
      </c>
      <c r="F60" s="8">
        <v>0.826086957</v>
      </c>
      <c r="G60" s="8">
        <v>0.404255319</v>
      </c>
      <c r="H60" s="8">
        <v>0.542857143</v>
      </c>
      <c r="I60" s="8">
        <v>0.875</v>
      </c>
      <c r="J60" s="9">
        <v>4.0</v>
      </c>
      <c r="K60" s="9">
        <v>28.0</v>
      </c>
      <c r="L60" s="9">
        <v>19.0</v>
      </c>
      <c r="M60" s="9">
        <v>205.0</v>
      </c>
      <c r="N60" s="9">
        <v>256.0</v>
      </c>
      <c r="O60" s="9">
        <v>36.0</v>
      </c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</row>
    <row r="61">
      <c r="A61" s="10"/>
      <c r="B61" s="10"/>
      <c r="C61" s="10"/>
      <c r="D61" s="4">
        <v>2.0</v>
      </c>
      <c r="E61" s="4" t="s">
        <v>17</v>
      </c>
      <c r="F61" s="11">
        <v>0.863636364</v>
      </c>
      <c r="G61" s="11">
        <v>0.413043478</v>
      </c>
      <c r="H61" s="11">
        <v>0.558823529</v>
      </c>
      <c r="I61" s="11">
        <v>0.875518672</v>
      </c>
      <c r="J61" s="14">
        <v>3.0</v>
      </c>
      <c r="K61" s="14">
        <v>27.0</v>
      </c>
      <c r="L61" s="14">
        <v>19.0</v>
      </c>
      <c r="M61" s="14">
        <v>192.0</v>
      </c>
      <c r="N61" s="14">
        <v>241.0</v>
      </c>
      <c r="O61" s="14">
        <v>35.0</v>
      </c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</row>
    <row r="62">
      <c r="A62" s="3">
        <v>51.0</v>
      </c>
      <c r="B62" s="3">
        <v>40.0</v>
      </c>
      <c r="C62" s="16" t="s">
        <v>27</v>
      </c>
      <c r="D62" s="4">
        <v>0.0</v>
      </c>
      <c r="E62" s="4" t="s">
        <v>16</v>
      </c>
      <c r="F62" s="8">
        <v>0.4375</v>
      </c>
      <c r="G62" s="8">
        <v>0.729166667</v>
      </c>
      <c r="H62" s="8">
        <v>0.546875</v>
      </c>
      <c r="I62" s="8">
        <v>0.78030303</v>
      </c>
      <c r="J62" s="9">
        <v>45.0</v>
      </c>
      <c r="K62" s="9">
        <v>13.0</v>
      </c>
      <c r="L62" s="9">
        <v>35.0</v>
      </c>
      <c r="M62" s="9">
        <v>171.0</v>
      </c>
      <c r="N62" s="9">
        <v>264.0</v>
      </c>
      <c r="O62" s="9">
        <v>37.0</v>
      </c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</row>
    <row r="63">
      <c r="A63" s="7"/>
      <c r="B63" s="7"/>
      <c r="C63" s="7"/>
      <c r="D63" s="4">
        <v>0.0</v>
      </c>
      <c r="E63" s="4" t="s">
        <v>17</v>
      </c>
      <c r="F63" s="8">
        <v>0.432098765</v>
      </c>
      <c r="G63" s="8">
        <v>0.729166667</v>
      </c>
      <c r="H63" s="8">
        <v>0.542635659</v>
      </c>
      <c r="I63" s="8">
        <v>0.776515152</v>
      </c>
      <c r="J63" s="9">
        <v>46.0</v>
      </c>
      <c r="K63" s="9">
        <v>13.0</v>
      </c>
      <c r="L63" s="9">
        <v>35.0</v>
      </c>
      <c r="M63" s="9">
        <v>170.0</v>
      </c>
      <c r="N63" s="9">
        <v>264.0</v>
      </c>
      <c r="O63" s="9">
        <v>37.0</v>
      </c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</row>
    <row r="64">
      <c r="A64" s="7"/>
      <c r="B64" s="7"/>
      <c r="C64" s="7"/>
      <c r="D64" s="4">
        <v>1.0</v>
      </c>
      <c r="E64" s="4" t="s">
        <v>16</v>
      </c>
      <c r="F64" s="8">
        <v>0.479452055</v>
      </c>
      <c r="G64" s="8">
        <v>0.744680851</v>
      </c>
      <c r="H64" s="8">
        <v>0.583333333</v>
      </c>
      <c r="I64" s="8">
        <v>0.8046875</v>
      </c>
      <c r="J64" s="9">
        <v>38.0</v>
      </c>
      <c r="K64" s="9">
        <v>12.0</v>
      </c>
      <c r="L64" s="9">
        <v>35.0</v>
      </c>
      <c r="M64" s="9">
        <v>171.0</v>
      </c>
      <c r="N64" s="9">
        <v>256.0</v>
      </c>
      <c r="O64" s="9">
        <v>36.0</v>
      </c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</row>
    <row r="65">
      <c r="A65" s="7"/>
      <c r="B65" s="7"/>
      <c r="C65" s="7"/>
      <c r="D65" s="4">
        <v>1.0</v>
      </c>
      <c r="E65" s="4" t="s">
        <v>17</v>
      </c>
      <c r="F65" s="8">
        <v>0.458333333</v>
      </c>
      <c r="G65" s="8">
        <v>0.733333333</v>
      </c>
      <c r="H65" s="8">
        <v>0.564102564</v>
      </c>
      <c r="I65" s="8">
        <v>0.796812749</v>
      </c>
      <c r="J65" s="9">
        <v>39.0</v>
      </c>
      <c r="K65" s="9">
        <v>12.0</v>
      </c>
      <c r="L65" s="9">
        <v>33.0</v>
      </c>
      <c r="M65" s="9">
        <v>167.0</v>
      </c>
      <c r="N65" s="9">
        <v>251.0</v>
      </c>
      <c r="O65" s="9">
        <v>35.0</v>
      </c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</row>
    <row r="66">
      <c r="A66" s="7"/>
      <c r="B66" s="7"/>
      <c r="C66" s="7"/>
      <c r="D66" s="4">
        <v>2.0</v>
      </c>
      <c r="E66" s="4" t="s">
        <v>16</v>
      </c>
      <c r="F66" s="8">
        <v>0.52238806</v>
      </c>
      <c r="G66" s="8">
        <v>0.744680851</v>
      </c>
      <c r="H66" s="8">
        <v>0.614035088</v>
      </c>
      <c r="I66" s="8">
        <v>0.828125</v>
      </c>
      <c r="J66" s="9">
        <v>32.0</v>
      </c>
      <c r="K66" s="9">
        <v>12.0</v>
      </c>
      <c r="L66" s="9">
        <v>35.0</v>
      </c>
      <c r="M66" s="9">
        <v>177.0</v>
      </c>
      <c r="N66" s="9">
        <v>256.0</v>
      </c>
      <c r="O66" s="9">
        <v>36.0</v>
      </c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</row>
    <row r="67">
      <c r="A67" s="10"/>
      <c r="B67" s="10"/>
      <c r="C67" s="10"/>
      <c r="D67" s="4">
        <v>2.0</v>
      </c>
      <c r="E67" s="4" t="s">
        <v>17</v>
      </c>
      <c r="F67" s="11">
        <v>0.470588235</v>
      </c>
      <c r="G67" s="11">
        <v>0.727272727</v>
      </c>
      <c r="H67" s="11">
        <v>0.571428571</v>
      </c>
      <c r="I67" s="11">
        <v>0.796610169</v>
      </c>
      <c r="J67" s="14">
        <v>36.0</v>
      </c>
      <c r="K67" s="14">
        <v>12.0</v>
      </c>
      <c r="L67" s="14">
        <v>32.0</v>
      </c>
      <c r="M67" s="14">
        <v>156.0</v>
      </c>
      <c r="N67" s="14">
        <v>236.0</v>
      </c>
      <c r="O67" s="14">
        <v>34.0</v>
      </c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</row>
    <row r="68">
      <c r="A68" s="3">
        <v>52.0</v>
      </c>
      <c r="B68" s="3">
        <v>40.0</v>
      </c>
      <c r="C68" s="16" t="s">
        <v>28</v>
      </c>
      <c r="D68" s="4">
        <v>0.0</v>
      </c>
      <c r="E68" s="4" t="s">
        <v>16</v>
      </c>
      <c r="F68" s="8">
        <v>0.842105263</v>
      </c>
      <c r="G68" s="8">
        <v>0.333333333</v>
      </c>
      <c r="H68" s="8">
        <v>0.47761194</v>
      </c>
      <c r="I68" s="8">
        <v>0.867424242</v>
      </c>
      <c r="J68" s="9">
        <v>3.0</v>
      </c>
      <c r="K68" s="9">
        <v>32.0</v>
      </c>
      <c r="L68" s="9">
        <v>16.0</v>
      </c>
      <c r="M68" s="9">
        <v>213.0</v>
      </c>
      <c r="N68" s="9">
        <v>264.0</v>
      </c>
      <c r="O68" s="9">
        <v>37.0</v>
      </c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</row>
    <row r="69">
      <c r="A69" s="7"/>
      <c r="B69" s="7"/>
      <c r="C69" s="7"/>
      <c r="D69" s="4">
        <v>0.0</v>
      </c>
      <c r="E69" s="4" t="s">
        <v>17</v>
      </c>
      <c r="F69" s="8">
        <v>0.904761905</v>
      </c>
      <c r="G69" s="8">
        <v>0.395833333</v>
      </c>
      <c r="H69" s="8">
        <v>0.550724638</v>
      </c>
      <c r="I69" s="8">
        <v>0.882575758</v>
      </c>
      <c r="J69" s="9">
        <v>2.0</v>
      </c>
      <c r="K69" s="9">
        <v>29.0</v>
      </c>
      <c r="L69" s="9">
        <v>19.0</v>
      </c>
      <c r="M69" s="9">
        <v>214.0</v>
      </c>
      <c r="N69" s="9">
        <v>264.0</v>
      </c>
      <c r="O69" s="9">
        <v>37.0</v>
      </c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</row>
    <row r="70">
      <c r="A70" s="7"/>
      <c r="B70" s="7"/>
      <c r="C70" s="7"/>
      <c r="D70" s="4">
        <v>1.0</v>
      </c>
      <c r="E70" s="4" t="s">
        <v>16</v>
      </c>
      <c r="F70" s="8">
        <v>0.888888889</v>
      </c>
      <c r="G70" s="8">
        <v>0.333333333</v>
      </c>
      <c r="H70" s="8">
        <v>0.484848485</v>
      </c>
      <c r="I70" s="8">
        <v>0.871212121</v>
      </c>
      <c r="J70" s="9">
        <v>2.0</v>
      </c>
      <c r="K70" s="9">
        <v>32.0</v>
      </c>
      <c r="L70" s="9">
        <v>16.0</v>
      </c>
      <c r="M70" s="9">
        <v>214.0</v>
      </c>
      <c r="N70" s="9">
        <v>264.0</v>
      </c>
      <c r="O70" s="9">
        <v>37.0</v>
      </c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</row>
    <row r="71">
      <c r="A71" s="7"/>
      <c r="B71" s="7"/>
      <c r="C71" s="7"/>
      <c r="D71" s="4">
        <v>1.0</v>
      </c>
      <c r="E71" s="4" t="s">
        <v>17</v>
      </c>
      <c r="F71" s="8">
        <v>0.888888889</v>
      </c>
      <c r="G71" s="8">
        <v>0.333333333</v>
      </c>
      <c r="H71" s="8">
        <v>0.484848485</v>
      </c>
      <c r="I71" s="8">
        <v>0.871212121</v>
      </c>
      <c r="J71" s="9">
        <v>2.0</v>
      </c>
      <c r="K71" s="9">
        <v>32.0</v>
      </c>
      <c r="L71" s="9">
        <v>16.0</v>
      </c>
      <c r="M71" s="9">
        <v>214.0</v>
      </c>
      <c r="N71" s="9">
        <v>264.0</v>
      </c>
      <c r="O71" s="9">
        <v>37.0</v>
      </c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</row>
    <row r="72">
      <c r="A72" s="7"/>
      <c r="B72" s="7"/>
      <c r="C72" s="7"/>
      <c r="D72" s="4">
        <v>2.0</v>
      </c>
      <c r="E72" s="4" t="s">
        <v>16</v>
      </c>
      <c r="F72" s="8">
        <v>0.818181818</v>
      </c>
      <c r="G72" s="8">
        <v>0.375</v>
      </c>
      <c r="H72" s="8">
        <v>0.514285714</v>
      </c>
      <c r="I72" s="8">
        <v>0.871212121</v>
      </c>
      <c r="J72" s="9">
        <v>4.0</v>
      </c>
      <c r="K72" s="9">
        <v>30.0</v>
      </c>
      <c r="L72" s="9">
        <v>18.0</v>
      </c>
      <c r="M72" s="9">
        <v>212.0</v>
      </c>
      <c r="N72" s="9">
        <v>264.0</v>
      </c>
      <c r="O72" s="9">
        <v>37.0</v>
      </c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</row>
    <row r="73">
      <c r="A73" s="10"/>
      <c r="B73" s="10"/>
      <c r="C73" s="10"/>
      <c r="D73" s="4">
        <v>2.0</v>
      </c>
      <c r="E73" s="4" t="s">
        <v>17</v>
      </c>
      <c r="F73" s="11">
        <v>0.85</v>
      </c>
      <c r="G73" s="11">
        <v>0.354166667</v>
      </c>
      <c r="H73" s="11">
        <v>0.5</v>
      </c>
      <c r="I73" s="11">
        <v>0.871212121</v>
      </c>
      <c r="J73" s="14">
        <v>3.0</v>
      </c>
      <c r="K73" s="14">
        <v>31.0</v>
      </c>
      <c r="L73" s="14">
        <v>17.0</v>
      </c>
      <c r="M73" s="14">
        <v>213.0</v>
      </c>
      <c r="N73" s="14">
        <v>264.0</v>
      </c>
      <c r="O73" s="14">
        <v>37.0</v>
      </c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</row>
    <row r="74">
      <c r="A74" s="3">
        <v>53.0</v>
      </c>
      <c r="B74" s="3">
        <v>40.0</v>
      </c>
      <c r="C74" s="16" t="s">
        <v>29</v>
      </c>
      <c r="D74" s="4">
        <v>0.0</v>
      </c>
      <c r="E74" s="4" t="s">
        <v>16</v>
      </c>
      <c r="F74" s="8">
        <v>0.5</v>
      </c>
      <c r="G74" s="8">
        <v>0.6875</v>
      </c>
      <c r="H74" s="8">
        <v>0.578947368</v>
      </c>
      <c r="I74" s="8">
        <v>0.818181818</v>
      </c>
      <c r="J74" s="9">
        <v>33.0</v>
      </c>
      <c r="K74" s="9">
        <v>15.0</v>
      </c>
      <c r="L74" s="9">
        <v>33.0</v>
      </c>
      <c r="M74" s="9">
        <v>183.0</v>
      </c>
      <c r="N74" s="9">
        <v>264.0</v>
      </c>
      <c r="O74" s="9">
        <v>37.0</v>
      </c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</row>
    <row r="75">
      <c r="A75" s="7"/>
      <c r="B75" s="7"/>
      <c r="C75" s="7"/>
      <c r="D75" s="4">
        <v>0.0</v>
      </c>
      <c r="E75" s="4" t="s">
        <v>17</v>
      </c>
      <c r="F75" s="8">
        <v>0.479452055</v>
      </c>
      <c r="G75" s="8">
        <v>0.729166667</v>
      </c>
      <c r="H75" s="8">
        <v>0.578512397</v>
      </c>
      <c r="I75" s="8">
        <v>0.806818182</v>
      </c>
      <c r="J75" s="9">
        <v>38.0</v>
      </c>
      <c r="K75" s="9">
        <v>13.0</v>
      </c>
      <c r="L75" s="9">
        <v>35.0</v>
      </c>
      <c r="M75" s="9">
        <v>178.0</v>
      </c>
      <c r="N75" s="9">
        <v>264.0</v>
      </c>
      <c r="O75" s="9">
        <v>37.0</v>
      </c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</row>
    <row r="76">
      <c r="A76" s="7"/>
      <c r="B76" s="7"/>
      <c r="C76" s="7"/>
      <c r="D76" s="4">
        <v>1.0</v>
      </c>
      <c r="E76" s="4" t="s">
        <v>16</v>
      </c>
      <c r="F76" s="8">
        <v>0.525423729</v>
      </c>
      <c r="G76" s="8">
        <v>0.659574468</v>
      </c>
      <c r="H76" s="8">
        <v>0.58490566</v>
      </c>
      <c r="I76" s="8">
        <v>0.828125</v>
      </c>
      <c r="J76" s="9">
        <v>28.0</v>
      </c>
      <c r="K76" s="9">
        <v>16.0</v>
      </c>
      <c r="L76" s="9">
        <v>31.0</v>
      </c>
      <c r="M76" s="9">
        <v>181.0</v>
      </c>
      <c r="N76" s="9">
        <v>256.0</v>
      </c>
      <c r="O76" s="9">
        <v>36.0</v>
      </c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</row>
    <row r="77">
      <c r="A77" s="7"/>
      <c r="B77" s="7"/>
      <c r="C77" s="7"/>
      <c r="D77" s="4">
        <v>1.0</v>
      </c>
      <c r="E77" s="4" t="s">
        <v>17</v>
      </c>
      <c r="F77" s="8">
        <v>0.47826087</v>
      </c>
      <c r="G77" s="8">
        <v>0.717391304</v>
      </c>
      <c r="H77" s="8">
        <v>0.573913043</v>
      </c>
      <c r="I77" s="8">
        <v>0.810810811</v>
      </c>
      <c r="J77" s="9">
        <v>36.0</v>
      </c>
      <c r="K77" s="9">
        <v>13.0</v>
      </c>
      <c r="L77" s="9">
        <v>33.0</v>
      </c>
      <c r="M77" s="9">
        <v>177.0</v>
      </c>
      <c r="N77" s="9">
        <v>259.0</v>
      </c>
      <c r="O77" s="9">
        <v>36.0</v>
      </c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</row>
    <row r="78">
      <c r="A78" s="7"/>
      <c r="B78" s="7"/>
      <c r="C78" s="7"/>
      <c r="D78" s="4">
        <v>2.0</v>
      </c>
      <c r="E78" s="4" t="s">
        <v>16</v>
      </c>
      <c r="F78" s="8">
        <v>0.532258065</v>
      </c>
      <c r="G78" s="8">
        <v>0.733333333</v>
      </c>
      <c r="H78" s="8">
        <v>0.61682243</v>
      </c>
      <c r="I78" s="8">
        <v>0.836653386</v>
      </c>
      <c r="J78" s="9">
        <v>29.0</v>
      </c>
      <c r="K78" s="9">
        <v>12.0</v>
      </c>
      <c r="L78" s="9">
        <v>33.0</v>
      </c>
      <c r="M78" s="9">
        <v>177.0</v>
      </c>
      <c r="N78" s="9">
        <v>251.0</v>
      </c>
      <c r="O78" s="9">
        <v>35.0</v>
      </c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</row>
    <row r="79">
      <c r="A79" s="10"/>
      <c r="B79" s="10"/>
      <c r="C79" s="10"/>
      <c r="D79" s="4">
        <v>2.0</v>
      </c>
      <c r="E79" s="17" t="s">
        <v>17</v>
      </c>
      <c r="F79" s="11">
        <v>0.46969697</v>
      </c>
      <c r="G79" s="11">
        <v>0.704545455</v>
      </c>
      <c r="H79" s="11">
        <v>0.563636364</v>
      </c>
      <c r="I79" s="11">
        <v>0.796610169</v>
      </c>
      <c r="J79" s="14">
        <v>35.0</v>
      </c>
      <c r="K79" s="14">
        <v>13.0</v>
      </c>
      <c r="L79" s="14">
        <v>31.0</v>
      </c>
      <c r="M79" s="14">
        <v>157.0</v>
      </c>
      <c r="N79" s="14">
        <v>236.0</v>
      </c>
      <c r="O79" s="14">
        <v>34.0</v>
      </c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</row>
    <row r="80">
      <c r="A80" s="3">
        <v>54.0</v>
      </c>
      <c r="B80" s="3">
        <v>40.0</v>
      </c>
      <c r="C80" s="16" t="s">
        <v>30</v>
      </c>
      <c r="D80" s="4">
        <v>0.0</v>
      </c>
      <c r="E80" s="17" t="s">
        <v>16</v>
      </c>
      <c r="F80" s="8">
        <v>0.3853211</v>
      </c>
      <c r="G80" s="8">
        <v>0.84</v>
      </c>
      <c r="H80" s="8">
        <v>0.52830189</v>
      </c>
      <c r="I80" s="8">
        <v>0.72627737</v>
      </c>
      <c r="J80" s="9">
        <v>67.0</v>
      </c>
      <c r="K80" s="9">
        <v>8.0</v>
      </c>
      <c r="L80" s="9">
        <v>42.0</v>
      </c>
      <c r="M80" s="9">
        <v>157.0</v>
      </c>
      <c r="N80" s="9">
        <v>274.0</v>
      </c>
      <c r="O80" s="9">
        <v>38.0</v>
      </c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</row>
    <row r="81">
      <c r="A81" s="7"/>
      <c r="B81" s="7"/>
      <c r="C81" s="7"/>
      <c r="D81" s="4">
        <v>0.0</v>
      </c>
      <c r="E81" s="17" t="s">
        <v>17</v>
      </c>
      <c r="F81" s="8">
        <v>0.37837838</v>
      </c>
      <c r="G81" s="8">
        <v>0.82352941</v>
      </c>
      <c r="H81" s="8">
        <v>0.51851852</v>
      </c>
      <c r="I81" s="8">
        <v>0.72340426</v>
      </c>
      <c r="J81" s="9">
        <v>69.0</v>
      </c>
      <c r="K81" s="9">
        <v>9.0</v>
      </c>
      <c r="L81" s="9">
        <v>42.0</v>
      </c>
      <c r="M81" s="9">
        <v>162.0</v>
      </c>
      <c r="N81" s="9">
        <v>282.0</v>
      </c>
      <c r="O81" s="9">
        <v>39.0</v>
      </c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</row>
    <row r="82">
      <c r="A82" s="7"/>
      <c r="B82" s="7"/>
      <c r="C82" s="7"/>
      <c r="D82" s="4">
        <v>1.0</v>
      </c>
      <c r="E82" s="17" t="s">
        <v>16</v>
      </c>
      <c r="F82" s="8">
        <v>0.44680851</v>
      </c>
      <c r="G82" s="8">
        <v>0.84</v>
      </c>
      <c r="H82" s="8">
        <v>0.58333333</v>
      </c>
      <c r="I82" s="8">
        <v>0.7810219</v>
      </c>
      <c r="J82" s="9">
        <v>52.0</v>
      </c>
      <c r="K82" s="9">
        <v>8.0</v>
      </c>
      <c r="L82" s="9">
        <v>42.0</v>
      </c>
      <c r="M82" s="9">
        <v>172.0</v>
      </c>
      <c r="N82" s="9">
        <v>274.0</v>
      </c>
      <c r="O82" s="9">
        <v>38.0</v>
      </c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</row>
    <row r="83">
      <c r="A83" s="7"/>
      <c r="B83" s="7"/>
      <c r="C83" s="7"/>
      <c r="D83" s="4">
        <v>1.0</v>
      </c>
      <c r="E83" s="17" t="s">
        <v>17</v>
      </c>
      <c r="F83" s="8">
        <v>0.41935484</v>
      </c>
      <c r="G83" s="8">
        <v>0.79591837</v>
      </c>
      <c r="H83" s="8">
        <v>0.54929577</v>
      </c>
      <c r="I83" s="8">
        <v>0.76895307</v>
      </c>
      <c r="J83" s="9">
        <v>54.0</v>
      </c>
      <c r="K83" s="9">
        <v>10.0</v>
      </c>
      <c r="L83" s="9">
        <v>39.0</v>
      </c>
      <c r="M83" s="9">
        <v>174.0</v>
      </c>
      <c r="N83" s="9">
        <v>277.0</v>
      </c>
      <c r="O83" s="9">
        <v>38.0</v>
      </c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</row>
    <row r="84">
      <c r="A84" s="7"/>
      <c r="B84" s="7"/>
      <c r="C84" s="7"/>
      <c r="D84" s="4">
        <v>2.0</v>
      </c>
      <c r="E84" s="17" t="s">
        <v>16</v>
      </c>
      <c r="F84" s="8">
        <v>0.39759036</v>
      </c>
      <c r="G84" s="8">
        <v>0.73333333</v>
      </c>
      <c r="H84" s="8">
        <v>0.515625</v>
      </c>
      <c r="I84" s="8">
        <v>0.75298805</v>
      </c>
      <c r="J84" s="9">
        <v>50.0</v>
      </c>
      <c r="K84" s="9">
        <v>12.0</v>
      </c>
      <c r="L84" s="9">
        <v>33.0</v>
      </c>
      <c r="M84" s="9">
        <v>156.0</v>
      </c>
      <c r="N84" s="9">
        <v>251.0</v>
      </c>
      <c r="O84" s="9">
        <v>35.0</v>
      </c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</row>
    <row r="85" ht="16.5" customHeight="1">
      <c r="A85" s="10"/>
      <c r="B85" s="10"/>
      <c r="C85" s="10"/>
      <c r="D85" s="4">
        <v>2.0</v>
      </c>
      <c r="E85" s="4" t="s">
        <v>17</v>
      </c>
      <c r="F85" s="11">
        <v>0.40697674</v>
      </c>
      <c r="G85" s="11">
        <v>0.77777778</v>
      </c>
      <c r="H85" s="11">
        <v>0.53435115</v>
      </c>
      <c r="I85" s="11">
        <v>0.75697211</v>
      </c>
      <c r="J85" s="14">
        <v>51.0</v>
      </c>
      <c r="K85" s="14">
        <v>10.0</v>
      </c>
      <c r="L85" s="14">
        <v>35.0</v>
      </c>
      <c r="M85" s="14">
        <v>155.0</v>
      </c>
      <c r="N85" s="14">
        <v>251.0</v>
      </c>
      <c r="O85" s="14">
        <v>35.0</v>
      </c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</row>
    <row r="86">
      <c r="A86" s="3">
        <v>54.1</v>
      </c>
      <c r="B86" s="3">
        <v>40.0</v>
      </c>
      <c r="C86" s="16" t="s">
        <v>31</v>
      </c>
      <c r="D86" s="4">
        <v>0.0</v>
      </c>
      <c r="E86" s="17" t="s">
        <v>16</v>
      </c>
      <c r="F86" s="8">
        <v>0.47826087</v>
      </c>
      <c r="G86" s="8">
        <v>0.44</v>
      </c>
      <c r="H86" s="8">
        <v>0.45833333</v>
      </c>
      <c r="I86" s="8">
        <v>0.81021898</v>
      </c>
      <c r="J86" s="9">
        <v>24.0</v>
      </c>
      <c r="K86" s="9">
        <v>28.0</v>
      </c>
      <c r="L86" s="9">
        <v>22.0</v>
      </c>
      <c r="M86" s="9">
        <v>200.0</v>
      </c>
      <c r="N86" s="9">
        <v>274.0</v>
      </c>
      <c r="O86" s="9">
        <v>38.0</v>
      </c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</row>
    <row r="87">
      <c r="A87" s="7"/>
      <c r="B87" s="7"/>
      <c r="C87" s="7"/>
      <c r="D87" s="4">
        <v>0.0</v>
      </c>
      <c r="E87" s="17" t="s">
        <v>17</v>
      </c>
      <c r="F87" s="8">
        <v>0.47272727</v>
      </c>
      <c r="G87" s="8">
        <v>0.52</v>
      </c>
      <c r="H87" s="8">
        <v>0.4952381</v>
      </c>
      <c r="I87" s="8">
        <v>0.80656934</v>
      </c>
      <c r="J87" s="9">
        <v>29.0</v>
      </c>
      <c r="K87" s="9">
        <v>24.0</v>
      </c>
      <c r="L87" s="9">
        <v>26.0</v>
      </c>
      <c r="M87" s="9">
        <v>195.0</v>
      </c>
      <c r="N87" s="9">
        <v>274.0</v>
      </c>
      <c r="O87" s="9">
        <v>38.0</v>
      </c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</row>
    <row r="88">
      <c r="A88" s="7"/>
      <c r="B88" s="7"/>
      <c r="C88" s="7"/>
      <c r="D88" s="4">
        <v>1.0</v>
      </c>
      <c r="E88" s="17" t="s">
        <v>16</v>
      </c>
      <c r="F88" s="8">
        <v>0.51219512</v>
      </c>
      <c r="G88" s="8">
        <v>0.42</v>
      </c>
      <c r="H88" s="8">
        <v>0.46153846</v>
      </c>
      <c r="I88" s="8">
        <v>0.82116788</v>
      </c>
      <c r="J88" s="9">
        <v>20.0</v>
      </c>
      <c r="K88" s="9">
        <v>29.0</v>
      </c>
      <c r="L88" s="9">
        <v>21.0</v>
      </c>
      <c r="M88" s="9">
        <v>204.0</v>
      </c>
      <c r="N88" s="9">
        <v>274.0</v>
      </c>
      <c r="O88" s="9">
        <v>38.0</v>
      </c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</row>
    <row r="89">
      <c r="A89" s="7"/>
      <c r="B89" s="7"/>
      <c r="C89" s="7"/>
      <c r="D89" s="4">
        <v>1.0</v>
      </c>
      <c r="E89" s="17" t="s">
        <v>17</v>
      </c>
      <c r="F89" s="8">
        <v>0.48780488</v>
      </c>
      <c r="G89" s="8">
        <v>0.4</v>
      </c>
      <c r="H89" s="8">
        <v>0.43956044</v>
      </c>
      <c r="I89" s="8">
        <v>0.81386861</v>
      </c>
      <c r="J89" s="9">
        <v>21.0</v>
      </c>
      <c r="K89" s="9">
        <v>30.0</v>
      </c>
      <c r="L89" s="9">
        <v>20.0</v>
      </c>
      <c r="M89" s="9">
        <v>203.0</v>
      </c>
      <c r="N89" s="9">
        <v>274.0</v>
      </c>
      <c r="O89" s="9">
        <v>38.0</v>
      </c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</row>
    <row r="90">
      <c r="A90" s="7"/>
      <c r="B90" s="7"/>
      <c r="C90" s="7"/>
      <c r="D90" s="4">
        <v>2.0</v>
      </c>
      <c r="E90" s="17" t="s">
        <v>16</v>
      </c>
      <c r="F90" s="8">
        <v>0.5</v>
      </c>
      <c r="G90" s="8">
        <v>0.34693878</v>
      </c>
      <c r="H90" s="8">
        <v>0.40963855</v>
      </c>
      <c r="I90" s="8">
        <v>0.81578947</v>
      </c>
      <c r="J90" s="9">
        <v>17.0</v>
      </c>
      <c r="K90" s="9">
        <v>32.0</v>
      </c>
      <c r="L90" s="9">
        <v>17.0</v>
      </c>
      <c r="M90" s="9">
        <v>200.0</v>
      </c>
      <c r="N90" s="9">
        <v>266.0</v>
      </c>
      <c r="O90" s="9">
        <v>37.0</v>
      </c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</row>
    <row r="91" ht="15.75" customHeight="1">
      <c r="A91" s="10"/>
      <c r="B91" s="10"/>
      <c r="C91" s="10"/>
      <c r="D91" s="18">
        <v>2.0</v>
      </c>
      <c r="E91" s="19" t="s">
        <v>17</v>
      </c>
      <c r="F91" s="20">
        <v>0.47368421</v>
      </c>
      <c r="G91" s="20">
        <v>0.36734694</v>
      </c>
      <c r="H91" s="20">
        <v>0.4137931</v>
      </c>
      <c r="I91" s="20">
        <v>0.80827068</v>
      </c>
      <c r="J91" s="21">
        <v>20.0</v>
      </c>
      <c r="K91" s="21">
        <v>31.0</v>
      </c>
      <c r="L91" s="21">
        <v>18.0</v>
      </c>
      <c r="M91" s="21">
        <v>197.0</v>
      </c>
      <c r="N91" s="21">
        <v>266.0</v>
      </c>
      <c r="O91" s="21">
        <v>37.0</v>
      </c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  <c r="AA91" s="22"/>
      <c r="AB91" s="22"/>
      <c r="AC91" s="22"/>
      <c r="AD91" s="22"/>
    </row>
    <row r="92">
      <c r="A92" s="3">
        <v>54.3</v>
      </c>
      <c r="B92" s="3">
        <v>40.0</v>
      </c>
      <c r="C92" s="16" t="s">
        <v>32</v>
      </c>
      <c r="D92" s="4">
        <v>0.0</v>
      </c>
      <c r="E92" s="17" t="s">
        <v>16</v>
      </c>
      <c r="F92" s="8">
        <v>0.44776119</v>
      </c>
      <c r="G92" s="8">
        <v>0.625</v>
      </c>
      <c r="H92" s="8">
        <v>0.52173913</v>
      </c>
      <c r="I92" s="8">
        <v>0.79166667</v>
      </c>
      <c r="J92" s="9">
        <v>37.0</v>
      </c>
      <c r="K92" s="9">
        <v>18.0</v>
      </c>
      <c r="L92" s="9">
        <v>30.0</v>
      </c>
      <c r="M92" s="9">
        <v>179.0</v>
      </c>
      <c r="N92" s="9">
        <v>264.0</v>
      </c>
      <c r="O92" s="9">
        <v>37.0</v>
      </c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</row>
    <row r="93">
      <c r="A93" s="7"/>
      <c r="B93" s="7"/>
      <c r="C93" s="7"/>
      <c r="D93" s="4">
        <v>0.0</v>
      </c>
      <c r="E93" s="17" t="s">
        <v>17</v>
      </c>
      <c r="F93" s="8">
        <v>0.42857143</v>
      </c>
      <c r="G93" s="8">
        <v>0.6875</v>
      </c>
      <c r="H93" s="8">
        <v>0.528</v>
      </c>
      <c r="I93" s="8">
        <v>0.77651515</v>
      </c>
      <c r="J93" s="9">
        <v>44.0</v>
      </c>
      <c r="K93" s="9">
        <v>15.0</v>
      </c>
      <c r="L93" s="9">
        <v>33.0</v>
      </c>
      <c r="M93" s="9">
        <v>172.0</v>
      </c>
      <c r="N93" s="9">
        <v>264.0</v>
      </c>
      <c r="O93" s="9">
        <v>37.0</v>
      </c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</row>
    <row r="94">
      <c r="A94" s="7"/>
      <c r="B94" s="7"/>
      <c r="C94" s="7"/>
      <c r="D94" s="4">
        <v>1.0</v>
      </c>
      <c r="E94" s="17" t="s">
        <v>16</v>
      </c>
      <c r="F94" s="8">
        <v>0.38983051</v>
      </c>
      <c r="G94" s="8">
        <v>0.47916667</v>
      </c>
      <c r="H94" s="8">
        <v>0.42990654</v>
      </c>
      <c r="I94" s="8">
        <v>0.76893939</v>
      </c>
      <c r="J94" s="9">
        <v>36.0</v>
      </c>
      <c r="K94" s="9">
        <v>25.0</v>
      </c>
      <c r="L94" s="9">
        <v>23.0</v>
      </c>
      <c r="M94" s="9">
        <v>180.0</v>
      </c>
      <c r="N94" s="9">
        <v>264.0</v>
      </c>
      <c r="O94" s="9">
        <v>37.0</v>
      </c>
      <c r="P94" s="23"/>
      <c r="Q94" s="23"/>
      <c r="R94" s="23"/>
      <c r="S94" s="23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</row>
    <row r="95">
      <c r="A95" s="7"/>
      <c r="B95" s="7"/>
      <c r="C95" s="7"/>
      <c r="D95" s="4">
        <v>1.0</v>
      </c>
      <c r="E95" s="17" t="s">
        <v>17</v>
      </c>
      <c r="F95" s="8">
        <v>0.40298507</v>
      </c>
      <c r="G95" s="8">
        <v>0.5625</v>
      </c>
      <c r="H95" s="8">
        <v>0.46956522</v>
      </c>
      <c r="I95" s="8">
        <v>0.76893939</v>
      </c>
      <c r="J95" s="9">
        <v>40.0</v>
      </c>
      <c r="K95" s="9">
        <v>21.0</v>
      </c>
      <c r="L95" s="9">
        <v>27.0</v>
      </c>
      <c r="M95" s="9">
        <v>176.0</v>
      </c>
      <c r="N95" s="9">
        <v>264.0</v>
      </c>
      <c r="O95" s="9">
        <v>37.0</v>
      </c>
      <c r="P95" s="23"/>
      <c r="Q95" s="23"/>
      <c r="R95" s="23"/>
      <c r="S95" s="23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</row>
    <row r="96">
      <c r="A96" s="7"/>
      <c r="B96" s="7"/>
      <c r="C96" s="7"/>
      <c r="D96" s="4">
        <v>2.0</v>
      </c>
      <c r="E96" s="17" t="s">
        <v>16</v>
      </c>
      <c r="F96" s="8">
        <v>0.40384615</v>
      </c>
      <c r="G96" s="8">
        <v>0.44680851</v>
      </c>
      <c r="H96" s="8">
        <v>0.42424242</v>
      </c>
      <c r="I96" s="8">
        <v>0.77734375</v>
      </c>
      <c r="J96" s="9">
        <v>31.0</v>
      </c>
      <c r="K96" s="9">
        <v>26.0</v>
      </c>
      <c r="L96" s="9">
        <v>21.0</v>
      </c>
      <c r="M96" s="9">
        <v>178.0</v>
      </c>
      <c r="N96" s="9">
        <v>256.0</v>
      </c>
      <c r="O96" s="9">
        <v>36.0</v>
      </c>
      <c r="P96" s="23"/>
      <c r="Q96" s="23"/>
      <c r="R96" s="23"/>
      <c r="S96" s="23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</row>
    <row r="97">
      <c r="A97" s="10"/>
      <c r="B97" s="10"/>
      <c r="C97" s="10"/>
      <c r="D97" s="24">
        <v>2.0</v>
      </c>
      <c r="E97" s="25" t="s">
        <v>17</v>
      </c>
      <c r="F97" s="8">
        <v>0.3559322</v>
      </c>
      <c r="G97" s="8">
        <v>0.44680851</v>
      </c>
      <c r="H97" s="8">
        <v>0.39622642</v>
      </c>
      <c r="I97" s="8">
        <v>0.75</v>
      </c>
      <c r="J97" s="9">
        <v>38.0</v>
      </c>
      <c r="K97" s="9">
        <v>26.0</v>
      </c>
      <c r="L97" s="9">
        <v>21.0</v>
      </c>
      <c r="M97" s="9">
        <v>171.0</v>
      </c>
      <c r="N97" s="9">
        <v>256.0</v>
      </c>
      <c r="O97" s="9">
        <v>36.0</v>
      </c>
      <c r="P97" s="26"/>
      <c r="Q97" s="26"/>
      <c r="R97" s="26"/>
      <c r="S97" s="26"/>
      <c r="T97" s="27"/>
      <c r="U97" s="27"/>
      <c r="V97" s="27"/>
      <c r="W97" s="27"/>
      <c r="X97" s="27"/>
      <c r="Y97" s="27"/>
      <c r="Z97" s="27"/>
      <c r="AA97" s="27"/>
      <c r="AB97" s="27"/>
      <c r="AC97" s="27"/>
      <c r="AD97" s="27"/>
    </row>
    <row r="98">
      <c r="A98" s="3">
        <v>54.4</v>
      </c>
      <c r="B98" s="3">
        <v>40.0</v>
      </c>
      <c r="C98" s="16" t="s">
        <v>33</v>
      </c>
      <c r="D98" s="4">
        <v>0.0</v>
      </c>
      <c r="E98" s="17" t="s">
        <v>16</v>
      </c>
      <c r="F98" s="5">
        <v>0.48888889</v>
      </c>
      <c r="G98" s="5">
        <v>0.45833333</v>
      </c>
      <c r="H98" s="5">
        <v>0.47311828</v>
      </c>
      <c r="I98" s="5">
        <v>0.81439394</v>
      </c>
      <c r="J98" s="6">
        <v>23.0</v>
      </c>
      <c r="K98" s="6">
        <v>26.0</v>
      </c>
      <c r="L98" s="6">
        <v>22.0</v>
      </c>
      <c r="M98" s="6">
        <v>193.0</v>
      </c>
      <c r="N98" s="6">
        <v>264.0</v>
      </c>
      <c r="O98" s="6">
        <v>37.0</v>
      </c>
      <c r="P98" s="23"/>
      <c r="Q98" s="23"/>
      <c r="R98" s="23"/>
      <c r="S98" s="23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</row>
    <row r="99">
      <c r="A99" s="7"/>
      <c r="B99" s="7"/>
      <c r="C99" s="7"/>
      <c r="D99" s="4">
        <v>0.0</v>
      </c>
      <c r="E99" s="17" t="s">
        <v>17</v>
      </c>
      <c r="F99" s="8">
        <v>0.49090909</v>
      </c>
      <c r="G99" s="8">
        <v>0.5625</v>
      </c>
      <c r="H99" s="8">
        <v>0.52427184</v>
      </c>
      <c r="I99" s="8">
        <v>0.81439394</v>
      </c>
      <c r="J99" s="9">
        <v>28.0</v>
      </c>
      <c r="K99" s="9">
        <v>21.0</v>
      </c>
      <c r="L99" s="9">
        <v>27.0</v>
      </c>
      <c r="M99" s="9">
        <v>188.0</v>
      </c>
      <c r="N99" s="9">
        <v>264.0</v>
      </c>
      <c r="O99" s="9">
        <v>37.0</v>
      </c>
      <c r="P99" s="23"/>
      <c r="Q99" s="23"/>
      <c r="R99" s="23"/>
      <c r="S99" s="23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</row>
    <row r="100">
      <c r="A100" s="7"/>
      <c r="B100" s="7"/>
      <c r="C100" s="7"/>
      <c r="D100" s="4">
        <v>1.0</v>
      </c>
      <c r="E100" s="17" t="s">
        <v>16</v>
      </c>
      <c r="F100" s="8">
        <v>0.5</v>
      </c>
      <c r="G100" s="8">
        <v>0.41666667</v>
      </c>
      <c r="H100" s="8">
        <v>0.45454545</v>
      </c>
      <c r="I100" s="8">
        <v>0.81818182</v>
      </c>
      <c r="J100" s="9">
        <v>20.0</v>
      </c>
      <c r="K100" s="9">
        <v>28.0</v>
      </c>
      <c r="L100" s="9">
        <v>20.0</v>
      </c>
      <c r="M100" s="9">
        <v>196.0</v>
      </c>
      <c r="N100" s="9">
        <v>264.0</v>
      </c>
      <c r="O100" s="9">
        <v>37.0</v>
      </c>
      <c r="P100" s="23"/>
      <c r="Q100" s="23"/>
      <c r="R100" s="23"/>
      <c r="S100" s="23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</row>
    <row r="101">
      <c r="A101" s="7"/>
      <c r="B101" s="7"/>
      <c r="C101" s="7"/>
      <c r="D101" s="4">
        <v>1.0</v>
      </c>
      <c r="E101" s="17" t="s">
        <v>17</v>
      </c>
      <c r="F101" s="8">
        <v>0.43478261</v>
      </c>
      <c r="G101" s="8">
        <v>0.41666667</v>
      </c>
      <c r="H101" s="8">
        <v>0.42553191</v>
      </c>
      <c r="I101" s="8">
        <v>0.79545455</v>
      </c>
      <c r="J101" s="9">
        <v>26.0</v>
      </c>
      <c r="K101" s="9">
        <v>28.0</v>
      </c>
      <c r="L101" s="9">
        <v>20.0</v>
      </c>
      <c r="M101" s="9">
        <v>190.0</v>
      </c>
      <c r="N101" s="9">
        <v>264.0</v>
      </c>
      <c r="O101" s="9">
        <v>37.0</v>
      </c>
      <c r="P101" s="23"/>
      <c r="Q101" s="23"/>
      <c r="R101" s="23"/>
      <c r="S101" s="23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</row>
    <row r="102">
      <c r="A102" s="7"/>
      <c r="B102" s="7"/>
      <c r="C102" s="7"/>
      <c r="D102" s="4">
        <v>2.0</v>
      </c>
      <c r="E102" s="17" t="s">
        <v>16</v>
      </c>
      <c r="F102" s="8">
        <v>0.45714286</v>
      </c>
      <c r="G102" s="8">
        <v>0.34042553</v>
      </c>
      <c r="H102" s="8">
        <v>0.3902439</v>
      </c>
      <c r="I102" s="8">
        <v>0.8046875</v>
      </c>
      <c r="J102" s="9">
        <v>19.0</v>
      </c>
      <c r="K102" s="9">
        <v>31.0</v>
      </c>
      <c r="L102" s="9">
        <v>16.0</v>
      </c>
      <c r="M102" s="9">
        <v>190.0</v>
      </c>
      <c r="N102" s="9">
        <v>256.0</v>
      </c>
      <c r="O102" s="9">
        <v>36.0</v>
      </c>
      <c r="P102" s="23"/>
      <c r="Q102" s="23"/>
      <c r="R102" s="23"/>
      <c r="S102" s="23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</row>
    <row r="103">
      <c r="A103" s="10"/>
      <c r="B103" s="10"/>
      <c r="C103" s="10"/>
      <c r="D103" s="4">
        <v>2.0</v>
      </c>
      <c r="E103" s="17" t="s">
        <v>17</v>
      </c>
      <c r="F103" s="11">
        <v>0.48780488</v>
      </c>
      <c r="G103" s="11">
        <v>0.42553191</v>
      </c>
      <c r="H103" s="11">
        <v>0.45454545</v>
      </c>
      <c r="I103" s="11">
        <v>0.8125</v>
      </c>
      <c r="J103" s="14">
        <v>21.0</v>
      </c>
      <c r="K103" s="14">
        <v>27.0</v>
      </c>
      <c r="L103" s="14">
        <v>20.0</v>
      </c>
      <c r="M103" s="14">
        <v>188.0</v>
      </c>
      <c r="N103" s="14">
        <v>256.0</v>
      </c>
      <c r="O103" s="14">
        <v>36.0</v>
      </c>
      <c r="P103" s="26"/>
      <c r="Q103" s="26"/>
      <c r="R103" s="26"/>
      <c r="S103" s="26"/>
      <c r="T103" s="27"/>
      <c r="U103" s="27"/>
      <c r="V103" s="27"/>
      <c r="W103" s="27"/>
      <c r="X103" s="27"/>
      <c r="Y103" s="27"/>
      <c r="Z103" s="27"/>
      <c r="AA103" s="27"/>
      <c r="AB103" s="27"/>
      <c r="AC103" s="27"/>
      <c r="AD103" s="27"/>
    </row>
    <row r="104">
      <c r="A104" s="28"/>
      <c r="B104" s="28"/>
      <c r="C104" s="29"/>
      <c r="D104" s="23"/>
      <c r="E104" s="23"/>
      <c r="F104" s="30"/>
      <c r="G104" s="30"/>
      <c r="H104" s="30"/>
      <c r="I104" s="30"/>
      <c r="J104" s="31"/>
      <c r="K104" s="31"/>
      <c r="L104" s="31"/>
      <c r="M104" s="31"/>
      <c r="N104" s="31"/>
      <c r="O104" s="31"/>
      <c r="P104" s="23"/>
      <c r="Q104" s="23"/>
      <c r="R104" s="23"/>
      <c r="S104" s="23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</row>
    <row r="105">
      <c r="A105" s="28"/>
      <c r="B105" s="28"/>
      <c r="C105" s="29"/>
      <c r="D105" s="23"/>
      <c r="E105" s="23"/>
      <c r="F105" s="32"/>
      <c r="G105" s="32"/>
      <c r="H105" s="32"/>
      <c r="I105" s="32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</row>
    <row r="106">
      <c r="A106" s="28"/>
      <c r="B106" s="28"/>
      <c r="C106" s="29"/>
      <c r="D106" s="23"/>
      <c r="E106" s="23"/>
      <c r="F106" s="32"/>
      <c r="G106" s="33"/>
      <c r="H106" s="32"/>
      <c r="I106" s="32"/>
      <c r="J106" s="23"/>
      <c r="K106" s="23"/>
      <c r="L106" s="23"/>
      <c r="M106" s="23"/>
      <c r="N106" s="23"/>
      <c r="O106" s="23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</row>
    <row r="107">
      <c r="A107" s="28"/>
      <c r="B107" s="28"/>
      <c r="C107" s="29"/>
      <c r="D107" s="23"/>
      <c r="E107" s="23"/>
      <c r="F107" s="32"/>
      <c r="G107" s="32"/>
      <c r="H107" s="32"/>
      <c r="I107" s="32"/>
      <c r="J107" s="23"/>
      <c r="K107" s="23"/>
      <c r="L107" s="23"/>
      <c r="M107" s="23"/>
      <c r="N107" s="23"/>
      <c r="O107" s="23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</row>
    <row r="108">
      <c r="A108" s="28"/>
      <c r="B108" s="28"/>
      <c r="C108" s="29"/>
      <c r="D108" s="23"/>
      <c r="E108" s="23"/>
      <c r="F108" s="32"/>
      <c r="G108" s="32"/>
      <c r="H108" s="32"/>
      <c r="I108" s="32"/>
      <c r="J108" s="23"/>
      <c r="K108" s="23"/>
      <c r="L108" s="23"/>
      <c r="M108" s="23"/>
      <c r="N108" s="23"/>
      <c r="O108" s="23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</row>
    <row r="109">
      <c r="A109" s="28"/>
      <c r="B109" s="28"/>
      <c r="C109" s="29"/>
      <c r="D109" s="26"/>
      <c r="E109" s="26"/>
      <c r="F109" s="34"/>
      <c r="G109" s="34"/>
      <c r="H109" s="34"/>
      <c r="I109" s="34"/>
      <c r="J109" s="26"/>
      <c r="K109" s="26"/>
      <c r="L109" s="26"/>
      <c r="M109" s="26"/>
      <c r="N109" s="26"/>
      <c r="O109" s="26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</row>
    <row r="110">
      <c r="A110" s="28"/>
      <c r="B110" s="28"/>
      <c r="C110" s="29"/>
      <c r="D110" s="23"/>
      <c r="E110" s="23"/>
      <c r="F110" s="32"/>
      <c r="G110" s="32"/>
      <c r="H110" s="32"/>
      <c r="I110" s="32"/>
      <c r="J110" s="23"/>
      <c r="K110" s="23"/>
      <c r="L110" s="23"/>
      <c r="M110" s="23"/>
      <c r="N110" s="23"/>
      <c r="O110" s="23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</row>
    <row r="111">
      <c r="A111" s="28"/>
      <c r="B111" s="28"/>
      <c r="C111" s="29"/>
      <c r="D111" s="23"/>
      <c r="E111" s="23"/>
      <c r="F111" s="32"/>
      <c r="G111" s="32"/>
      <c r="H111" s="32"/>
      <c r="I111" s="32"/>
      <c r="J111" s="23"/>
      <c r="K111" s="23"/>
      <c r="L111" s="23"/>
      <c r="M111" s="23"/>
      <c r="N111" s="23"/>
      <c r="O111" s="23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</row>
    <row r="112">
      <c r="A112" s="28"/>
      <c r="B112" s="28"/>
      <c r="C112" s="29"/>
      <c r="D112" s="23"/>
      <c r="E112" s="23"/>
      <c r="F112" s="32"/>
      <c r="G112" s="32"/>
      <c r="H112" s="32"/>
      <c r="I112" s="32"/>
      <c r="J112" s="23"/>
      <c r="K112" s="23"/>
      <c r="L112" s="23"/>
      <c r="M112" s="23"/>
      <c r="N112" s="23"/>
      <c r="O112" s="23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</row>
    <row r="113">
      <c r="A113" s="28"/>
      <c r="B113" s="28"/>
      <c r="C113" s="29"/>
      <c r="D113" s="23"/>
      <c r="E113" s="23"/>
      <c r="F113" s="32"/>
      <c r="G113" s="32"/>
      <c r="H113" s="32"/>
      <c r="I113" s="32"/>
      <c r="J113" s="23"/>
      <c r="K113" s="23"/>
      <c r="L113" s="23"/>
      <c r="M113" s="23"/>
      <c r="N113" s="23"/>
      <c r="O113" s="23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</row>
    <row r="114">
      <c r="A114" s="28"/>
      <c r="B114" s="28"/>
      <c r="C114" s="29"/>
      <c r="D114" s="23"/>
      <c r="E114" s="23"/>
      <c r="F114" s="32"/>
      <c r="G114" s="32"/>
      <c r="H114" s="32"/>
      <c r="I114" s="32"/>
      <c r="J114" s="23"/>
      <c r="K114" s="23"/>
      <c r="L114" s="23"/>
      <c r="M114" s="23"/>
      <c r="N114" s="23"/>
      <c r="O114" s="23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</row>
    <row r="115">
      <c r="A115" s="28"/>
      <c r="B115" s="28"/>
      <c r="C115" s="29"/>
      <c r="D115" s="23"/>
      <c r="E115" s="26"/>
      <c r="F115" s="34"/>
      <c r="G115" s="34"/>
      <c r="H115" s="34"/>
      <c r="I115" s="34"/>
      <c r="J115" s="26"/>
      <c r="K115" s="26"/>
      <c r="L115" s="26"/>
      <c r="M115" s="26"/>
      <c r="N115" s="26"/>
      <c r="O115" s="26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</row>
    <row r="116">
      <c r="A116" s="2"/>
      <c r="B116" s="2"/>
      <c r="C116" s="2"/>
      <c r="D116" s="35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</row>
    <row r="117">
      <c r="A117" s="2"/>
      <c r="B117" s="2"/>
      <c r="C117" s="2"/>
      <c r="D117" s="35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</row>
    <row r="118">
      <c r="A118" s="2"/>
      <c r="B118" s="2"/>
      <c r="C118" s="2"/>
      <c r="D118" s="35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</row>
    <row r="119">
      <c r="A119" s="2"/>
      <c r="B119" s="2"/>
      <c r="C119" s="2"/>
      <c r="D119" s="35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</row>
    <row r="120">
      <c r="A120" s="2"/>
      <c r="B120" s="2"/>
      <c r="C120" s="2"/>
      <c r="D120" s="35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</row>
  </sheetData>
  <mergeCells count="51">
    <mergeCell ref="B68:B73"/>
    <mergeCell ref="C68:C73"/>
    <mergeCell ref="A56:A61"/>
    <mergeCell ref="B56:B61"/>
    <mergeCell ref="C56:C61"/>
    <mergeCell ref="A62:A67"/>
    <mergeCell ref="B62:B67"/>
    <mergeCell ref="C62:C67"/>
    <mergeCell ref="A68:A73"/>
    <mergeCell ref="B86:B91"/>
    <mergeCell ref="C86:C91"/>
    <mergeCell ref="A74:A79"/>
    <mergeCell ref="B74:B79"/>
    <mergeCell ref="C74:C79"/>
    <mergeCell ref="A80:A85"/>
    <mergeCell ref="B80:B85"/>
    <mergeCell ref="C80:C85"/>
    <mergeCell ref="A86:A91"/>
    <mergeCell ref="B14:B19"/>
    <mergeCell ref="C14:C19"/>
    <mergeCell ref="A2:A7"/>
    <mergeCell ref="B2:B7"/>
    <mergeCell ref="C2:C7"/>
    <mergeCell ref="A8:A13"/>
    <mergeCell ref="B8:B13"/>
    <mergeCell ref="C8:C13"/>
    <mergeCell ref="A14:A19"/>
    <mergeCell ref="B32:B37"/>
    <mergeCell ref="C32:C37"/>
    <mergeCell ref="A20:A25"/>
    <mergeCell ref="B20:B25"/>
    <mergeCell ref="C20:C25"/>
    <mergeCell ref="A26:A31"/>
    <mergeCell ref="B26:B31"/>
    <mergeCell ref="C26:C31"/>
    <mergeCell ref="A32:A37"/>
    <mergeCell ref="B50:B55"/>
    <mergeCell ref="C50:C55"/>
    <mergeCell ref="A38:A43"/>
    <mergeCell ref="B38:B43"/>
    <mergeCell ref="C38:C43"/>
    <mergeCell ref="A44:A49"/>
    <mergeCell ref="B44:B49"/>
    <mergeCell ref="C44:C49"/>
    <mergeCell ref="A50:A55"/>
    <mergeCell ref="A92:A97"/>
    <mergeCell ref="B92:B97"/>
    <mergeCell ref="C92:C97"/>
    <mergeCell ref="A98:A103"/>
    <mergeCell ref="B98:B103"/>
    <mergeCell ref="C98:C103"/>
  </mergeCells>
  <conditionalFormatting sqref="F1:F1000 G92:I103">
    <cfRule type="expression" dxfId="0" priority="1">
      <formula>F1=MIN($F:$F)</formula>
    </cfRule>
  </conditionalFormatting>
  <conditionalFormatting sqref="G1:G1000">
    <cfRule type="expression" dxfId="0" priority="2">
      <formula>G1=MIN($G:$G)</formula>
    </cfRule>
  </conditionalFormatting>
  <conditionalFormatting sqref="I1:I1000">
    <cfRule type="expression" dxfId="0" priority="3">
      <formula>I1=MIN($I:$I)</formula>
    </cfRule>
  </conditionalFormatting>
  <conditionalFormatting sqref="J1:J1000 K92:O103">
    <cfRule type="expression" dxfId="0" priority="4">
      <formula>J1=MIN($J:$J)</formula>
    </cfRule>
  </conditionalFormatting>
  <conditionalFormatting sqref="K1:K1000">
    <cfRule type="expression" dxfId="0" priority="5">
      <formula>K1=MIN($K:$K)</formula>
    </cfRule>
  </conditionalFormatting>
  <conditionalFormatting sqref="L1:L1000">
    <cfRule type="expression" dxfId="0" priority="6">
      <formula>L1=MIN($L:$L)</formula>
    </cfRule>
  </conditionalFormatting>
  <conditionalFormatting sqref="M1:M1000">
    <cfRule type="expression" dxfId="0" priority="7">
      <formula>M1=MIN($M:$M)</formula>
    </cfRule>
  </conditionalFormatting>
  <conditionalFormatting sqref="F1:F1000 G92:I103">
    <cfRule type="expression" dxfId="1" priority="8">
      <formula>F1=MAX($F:$F)</formula>
    </cfRule>
  </conditionalFormatting>
  <conditionalFormatting sqref="G1:G1000">
    <cfRule type="expression" dxfId="1" priority="9">
      <formula>G1=MAX($G:$G)</formula>
    </cfRule>
  </conditionalFormatting>
  <conditionalFormatting sqref="I1:I1000">
    <cfRule type="expression" dxfId="1" priority="10">
      <formula>I1=MAX($I:$I)</formula>
    </cfRule>
  </conditionalFormatting>
  <conditionalFormatting sqref="J1:J1000 K92:O103">
    <cfRule type="expression" dxfId="1" priority="11">
      <formula>J1=MAX($J:$J)</formula>
    </cfRule>
  </conditionalFormatting>
  <conditionalFormatting sqref="K1:K1000">
    <cfRule type="expression" dxfId="1" priority="12">
      <formula>K1=MAX($K:$K)</formula>
    </cfRule>
  </conditionalFormatting>
  <conditionalFormatting sqref="L1:L1000">
    <cfRule type="expression" dxfId="1" priority="13">
      <formula>L1=MAX($L:$L)</formula>
    </cfRule>
  </conditionalFormatting>
  <conditionalFormatting sqref="M1:M1000">
    <cfRule type="expression" dxfId="1" priority="14">
      <formula>M1=MAX($M:$M)</formula>
    </cfRule>
  </conditionalFormatting>
  <conditionalFormatting sqref="N1:N1000">
    <cfRule type="expression" dxfId="1" priority="15">
      <formula>N1=MAX($N:$N)</formula>
    </cfRule>
  </conditionalFormatting>
  <conditionalFormatting sqref="N1:N1000">
    <cfRule type="expression" dxfId="0" priority="16">
      <formula>N1=MIN($N:$N)</formula>
    </cfRule>
  </conditionalFormatting>
  <drawing r:id="rId2"/>
  <legacyDrawing r:id="rId3"/>
</worksheet>
</file>